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82bf27e20e98d5/Documents/Q2 Technologies/Activities 2026/WCM/Prospect/"/>
    </mc:Choice>
  </mc:AlternateContent>
  <xr:revisionPtr revIDLastSave="22" documentId="8_{84202CB9-E856-4E5C-A1CC-B674470604C9}" xr6:coauthVersionLast="47" xr6:coauthVersionMax="47" xr10:uidLastSave="{6E9CE942-545B-4079-B0B9-64E7AA1D9A6C}"/>
  <bookViews>
    <workbookView xWindow="-98" yWindow="-98" windowWidth="22695" windowHeight="14476" activeTab="2" xr2:uid="{00000000-000D-0000-FFFF-FFFF00000000}"/>
  </bookViews>
  <sheets>
    <sheet name="Prospect" sheetId="2" r:id="rId1"/>
    <sheet name="Product" sheetId="3" r:id="rId2"/>
    <sheet name="Sales Activity" sheetId="4" r:id="rId3"/>
    <sheet name="Graph" sheetId="5" r:id="rId4"/>
    <sheet name="Prospect Closure" sheetId="6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6" l="1"/>
  <c r="F26" i="6"/>
  <c r="G25" i="6"/>
  <c r="F25" i="6"/>
  <c r="C78" i="5"/>
  <c r="C79" i="5" s="1"/>
  <c r="K59" i="5"/>
  <c r="C58" i="5"/>
  <c r="C59" i="5" s="1"/>
  <c r="J57" i="5"/>
  <c r="C34" i="5"/>
  <c r="C33" i="5"/>
  <c r="C32" i="5"/>
  <c r="C31" i="5"/>
  <c r="C9" i="5"/>
  <c r="C8" i="5"/>
  <c r="C7" i="5"/>
  <c r="C6" i="5"/>
  <c r="C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Arya</author>
  </authors>
  <commentList>
    <comment ref="C56" authorId="0" shapeId="0" xr:uid="{8F89DA92-CD9C-42A6-984E-AE8FB1776210}">
      <text>
        <r>
          <rPr>
            <b/>
            <sz val="9"/>
            <color indexed="81"/>
            <rFont val="Tahoma"/>
            <family val="2"/>
          </rPr>
          <t>Arya:</t>
        </r>
        <r>
          <rPr>
            <sz val="9"/>
            <color indexed="81"/>
            <rFont val="Tahoma"/>
            <family val="2"/>
          </rPr>
          <t xml:space="preserve">
Takeout Infomedia server, BOII Implementasi mundur, Bank Mayapada adjust GP karena mekanisme Bulk</t>
        </r>
      </text>
    </comment>
  </commentList>
</comments>
</file>

<file path=xl/sharedStrings.xml><?xml version="1.0" encoding="utf-8"?>
<sst xmlns="http://schemas.openxmlformats.org/spreadsheetml/2006/main" count="6560" uniqueCount="1364">
  <si>
    <t>ID_TOP_SALES</t>
  </si>
  <si>
    <t>AM_NAME</t>
  </si>
  <si>
    <t>COMPANY_NAME</t>
  </si>
  <si>
    <t>DIRECTORAT</t>
  </si>
  <si>
    <t>GROUP_NAME</t>
  </si>
  <si>
    <t>ID_PROJECT</t>
  </si>
  <si>
    <t>ID_PROSPECT_STATUS</t>
  </si>
  <si>
    <t>PROSPECT_NAME</t>
  </si>
  <si>
    <t>CLIENT_NAME</t>
  </si>
  <si>
    <t>STATUS</t>
  </si>
  <si>
    <t>TERM_OF_PAYMENT</t>
  </si>
  <si>
    <t>AMOUNT</t>
  </si>
  <si>
    <t>GP</t>
  </si>
  <si>
    <t>AMOUNT_CL</t>
  </si>
  <si>
    <t>GP_CL</t>
  </si>
  <si>
    <t>EST_PROSPECT_CLOSE_DATE</t>
  </si>
  <si>
    <t>TARGET_DATE</t>
  </si>
  <si>
    <t>CONFIDENCE_LEVEL</t>
  </si>
  <si>
    <t>3HW</t>
  </si>
  <si>
    <t>3SV</t>
  </si>
  <si>
    <t>3SW</t>
  </si>
  <si>
    <t xml:space="preserve">OSL </t>
  </si>
  <si>
    <t>OSV - Non OSL</t>
  </si>
  <si>
    <t>OSV - OSL</t>
  </si>
  <si>
    <t>BD</t>
  </si>
  <si>
    <t>BD2</t>
  </si>
  <si>
    <t>CEC</t>
  </si>
  <si>
    <t>CTP</t>
  </si>
  <si>
    <t>EII</t>
  </si>
  <si>
    <t>FGRC</t>
  </si>
  <si>
    <t>MAS</t>
  </si>
  <si>
    <t>MOC</t>
  </si>
  <si>
    <t>OPR&amp;DEL</t>
  </si>
  <si>
    <t>PAL</t>
  </si>
  <si>
    <t>SAPM1</t>
  </si>
  <si>
    <t>Monica Permata Rahayu</t>
  </si>
  <si>
    <t>PT Q2 Technologies</t>
  </si>
  <si>
    <t>SPM</t>
  </si>
  <si>
    <t>Sales Management Team</t>
  </si>
  <si>
    <t>Q2TC220055</t>
  </si>
  <si>
    <t>CR AML GRO</t>
  </si>
  <si>
    <t>Bank Danamon Indonesia</t>
  </si>
  <si>
    <t>Identifying</t>
  </si>
  <si>
    <t>50% After PO</t>
  </si>
  <si>
    <t>50% After BAST</t>
  </si>
  <si>
    <t>Fransiska Tunardi</t>
  </si>
  <si>
    <t>PT Anabatic Solusi Digital</t>
  </si>
  <si>
    <t xml:space="preserve">Business Development </t>
  </si>
  <si>
    <t>ATIC220246</t>
  </si>
  <si>
    <t>CR-One AML for goAML Schema 5.0.2</t>
  </si>
  <si>
    <t>Infosys</t>
  </si>
  <si>
    <t>Develop</t>
  </si>
  <si>
    <t>100% on PO/SPK</t>
  </si>
  <si>
    <t>ASD220119</t>
  </si>
  <si>
    <t>Adira - Upgrade OnesumX</t>
  </si>
  <si>
    <t>Adira Dinamika Multi Finance</t>
  </si>
  <si>
    <t>35% after PO</t>
  </si>
  <si>
    <t>35% SIT sign off</t>
  </si>
  <si>
    <t>Addison Giovanni</t>
  </si>
  <si>
    <t>ATIC220258</t>
  </si>
  <si>
    <t>Migrasi LTO</t>
  </si>
  <si>
    <t>PricewaterhouseCoopers</t>
  </si>
  <si>
    <t>100% After Go Live</t>
  </si>
  <si>
    <t>Q2TC220275</t>
  </si>
  <si>
    <t>Automated Pentest Tools</t>
  </si>
  <si>
    <t>OCBC NISP</t>
  </si>
  <si>
    <t>Qualifying</t>
  </si>
  <si>
    <t>ASD220132</t>
  </si>
  <si>
    <t>LOS</t>
  </si>
  <si>
    <t>PT Mandiri Utama Finance</t>
  </si>
  <si>
    <t xml:space="preserve">100% After Delivery </t>
  </si>
  <si>
    <t>ATIC220317</t>
  </si>
  <si>
    <t>CR Go-AML LTKM</t>
  </si>
  <si>
    <t>Q2TC220301</t>
  </si>
  <si>
    <t>CR Assessment on Future Enhancement</t>
  </si>
  <si>
    <t>ASD220177</t>
  </si>
  <si>
    <t>Danamon - CR Bulk Disbursement</t>
  </si>
  <si>
    <t>20% after PO</t>
  </si>
  <si>
    <t>80% after finish</t>
  </si>
  <si>
    <t>ASD220178</t>
  </si>
  <si>
    <t>Danamon - CR D Wallet Audit Trail</t>
  </si>
  <si>
    <t>Q2TC230005</t>
  </si>
  <si>
    <t>CR Additional Logic Trade Message</t>
  </si>
  <si>
    <t>30% After UAT</t>
  </si>
  <si>
    <t>20% After BAST</t>
  </si>
  <si>
    <t>Q2TC220303</t>
  </si>
  <si>
    <t>Implementasi ISO27001</t>
  </si>
  <si>
    <t>PT. Indosat Ooredoo Hutchison</t>
  </si>
  <si>
    <t>Sarah Widya Hafsari</t>
  </si>
  <si>
    <t>ASD230017</t>
  </si>
  <si>
    <t>LLD dan DHE Module in Eximbank</t>
  </si>
  <si>
    <t>Eximbank</t>
  </si>
  <si>
    <t>25% on SPK</t>
  </si>
  <si>
    <t>ASD230027</t>
  </si>
  <si>
    <t>Termination Opics Project</t>
  </si>
  <si>
    <t>Bank Tabungan Pensiunan Nasional</t>
  </si>
  <si>
    <t>20% after Agreement</t>
  </si>
  <si>
    <t>ASD230044</t>
  </si>
  <si>
    <t>GL System (SunGL) - EGLS Replacement</t>
  </si>
  <si>
    <t>Bank Tabungan Pensiunan Nasional Syariah</t>
  </si>
  <si>
    <t>ASD230051</t>
  </si>
  <si>
    <t>ATS Maintenance PocketBank - Replatform Dwallet Project</t>
  </si>
  <si>
    <t>100% after PO</t>
  </si>
  <si>
    <t>ASD230056</t>
  </si>
  <si>
    <t>Danamon - CR DCash Withdrawal</t>
  </si>
  <si>
    <t>ASD230075</t>
  </si>
  <si>
    <t>PID Interface Re-Appraise Laporan Penilaian Agunan</t>
  </si>
  <si>
    <t>Bank Permata Syariah</t>
  </si>
  <si>
    <t>20% on SPK</t>
  </si>
  <si>
    <t>ASD230063</t>
  </si>
  <si>
    <t xml:space="preserve">MUFG - Upgrade OneSumX </t>
  </si>
  <si>
    <t>The Bank of Tokyo-Mitsubishi UFJ</t>
  </si>
  <si>
    <t>30% after Agreement</t>
  </si>
  <si>
    <t>Sandro Andy Putra Hutapea</t>
  </si>
  <si>
    <t>ATIC230049</t>
  </si>
  <si>
    <t>Upgrade LKPBU</t>
  </si>
  <si>
    <t>Bank Indonesia</t>
  </si>
  <si>
    <t>20% after SIT</t>
  </si>
  <si>
    <t>40% after UAT</t>
  </si>
  <si>
    <t>30% after Go Live</t>
  </si>
  <si>
    <t>10% after PIR</t>
  </si>
  <si>
    <t>Yuliani Arosyanti</t>
  </si>
  <si>
    <t>Q2TC230134</t>
  </si>
  <si>
    <t>CWAF Imperva</t>
  </si>
  <si>
    <t>BNI Sekuritas</t>
  </si>
  <si>
    <t>Vebian</t>
  </si>
  <si>
    <t>ASD230074</t>
  </si>
  <si>
    <t xml:space="preserve">Web Application Firewall - IMPERVA </t>
  </si>
  <si>
    <t>SAMORA GROUP</t>
  </si>
  <si>
    <t xml:space="preserve">50% - PO received </t>
  </si>
  <si>
    <t>50% - FSD Sign Off</t>
  </si>
  <si>
    <t>Q2TC230164</t>
  </si>
  <si>
    <t>Pengadaan Cloud WAF Imperva Samora Group</t>
  </si>
  <si>
    <t>ASD230113</t>
  </si>
  <si>
    <t>Network Firewal - DAP</t>
  </si>
  <si>
    <t>PT Duta Abadi Primantara</t>
  </si>
  <si>
    <t>100% - PO/SPK Received</t>
  </si>
  <si>
    <t>Q2TC230230</t>
  </si>
  <si>
    <t>Bulk Mandays 2023 - 2024</t>
  </si>
  <si>
    <t>ASD230060</t>
  </si>
  <si>
    <t>Middleware Retail Treasury Data</t>
  </si>
  <si>
    <t>ASD230161</t>
  </si>
  <si>
    <t xml:space="preserve">CR TIS - Enhancement TIS to Support Data for SIUL Reporting </t>
  </si>
  <si>
    <t>ATIC230079</t>
  </si>
  <si>
    <t>T24 Upgrade and Migrate</t>
  </si>
  <si>
    <t>Bank Rakyat Indonesia (Persero)</t>
  </si>
  <si>
    <t>Qualifying Approved</t>
  </si>
  <si>
    <t>20% after FSD</t>
  </si>
  <si>
    <t>30% after SIT</t>
  </si>
  <si>
    <t>10% after Live</t>
  </si>
  <si>
    <t>ASD230114</t>
  </si>
  <si>
    <t>Micro loan CIMB Niaga</t>
  </si>
  <si>
    <t>Bank CIMB Niaga</t>
  </si>
  <si>
    <t>25% PO Release</t>
  </si>
  <si>
    <t>25% Sign off FSD</t>
  </si>
  <si>
    <t>25% Sign off UAT</t>
  </si>
  <si>
    <t>25% Sign off BAST Golive</t>
  </si>
  <si>
    <t>ATIC230041</t>
  </si>
  <si>
    <t>Direct Antasena Bank Of America - Infosys</t>
  </si>
  <si>
    <t>ASD230138</t>
  </si>
  <si>
    <t>SMI - CR Interface Temenos New LOS &amp; Pain Point</t>
  </si>
  <si>
    <t>Sarana Multi Infrastruktur</t>
  </si>
  <si>
    <t>20% after BRD</t>
  </si>
  <si>
    <t>ASD230176</t>
  </si>
  <si>
    <t>Loan Origination System Project</t>
  </si>
  <si>
    <t>Bank Maybank Indonesia</t>
  </si>
  <si>
    <t>After Agreement</t>
  </si>
  <si>
    <t>ASD230179</t>
  </si>
  <si>
    <t>CR Supply Chain Financing</t>
  </si>
  <si>
    <t>Bank Permata</t>
  </si>
  <si>
    <t>20% on PO</t>
  </si>
  <si>
    <t>ASD230180</t>
  </si>
  <si>
    <t>CR PRK</t>
  </si>
  <si>
    <t>ASD230182</t>
  </si>
  <si>
    <t>CR Treatment GP</t>
  </si>
  <si>
    <t>ASD230183</t>
  </si>
  <si>
    <t>CR Murabahah Hybrid</t>
  </si>
  <si>
    <t>ASD230184</t>
  </si>
  <si>
    <t>CR WO CWX</t>
  </si>
  <si>
    <t>Q2TC230274</t>
  </si>
  <si>
    <t>Endpoint Encryption Solution Trellix</t>
  </si>
  <si>
    <t>PT. Tokio Marine Insurance Indonesia</t>
  </si>
  <si>
    <t>Q2TC230277</t>
  </si>
  <si>
    <t>Solusi Axonius</t>
  </si>
  <si>
    <t>Bank Syariah Indonesia</t>
  </si>
  <si>
    <t>After PO</t>
  </si>
  <si>
    <t>Q2TC230278</t>
  </si>
  <si>
    <t>Mobile Security</t>
  </si>
  <si>
    <t>Bank Mayora</t>
  </si>
  <si>
    <t>ASD230192</t>
  </si>
  <si>
    <t xml:space="preserve">DEM and  APsec Dynatrace </t>
  </si>
  <si>
    <t>PT BCA Finance</t>
  </si>
  <si>
    <t>100% - SPK and BAST License</t>
  </si>
  <si>
    <t>Q2TC230292</t>
  </si>
  <si>
    <t>Managed Services SOC</t>
  </si>
  <si>
    <t>Reasuransi Indonesia Utama</t>
  </si>
  <si>
    <t>50 after PO</t>
  </si>
  <si>
    <t>ATIC230083</t>
  </si>
  <si>
    <t>ANZ - Maintenance ATS CR One Antasena (1 Aug 24 - 31 Des 24)</t>
  </si>
  <si>
    <t>Bank ANZ Indonesia</t>
  </si>
  <si>
    <t>ASD230204</t>
  </si>
  <si>
    <t xml:space="preserve">Renewal Maintenance Aplikasi Dynatrace </t>
  </si>
  <si>
    <t>100% - On  Contract Sgin and SPK received</t>
  </si>
  <si>
    <t>ASD230206</t>
  </si>
  <si>
    <t>PEGA - Marketing Campaign Solution (Local Maintenance Support)</t>
  </si>
  <si>
    <t>BCA</t>
  </si>
  <si>
    <t>100% - On  Contract Sgin</t>
  </si>
  <si>
    <t>ASD230208</t>
  </si>
  <si>
    <t>ATS CR-One Antasena 2024</t>
  </si>
  <si>
    <t>Bank BNP Paribas</t>
  </si>
  <si>
    <t>Procurement</t>
  </si>
  <si>
    <t>100% on Kontrak</t>
  </si>
  <si>
    <t>Q2TC230311</t>
  </si>
  <si>
    <t>Forcepoint Web Proxy Security</t>
  </si>
  <si>
    <t>ASD230222</t>
  </si>
  <si>
    <t xml:space="preserve">Kebutuhan San Switch </t>
  </si>
  <si>
    <t>100% - PKS and SPK Received</t>
  </si>
  <si>
    <t>Q2TC230217</t>
  </si>
  <si>
    <t>Pentest Tunas Ridean</t>
  </si>
  <si>
    <t>PT Tunas Group</t>
  </si>
  <si>
    <t>50% after PO</t>
  </si>
  <si>
    <t>50% after BAST</t>
  </si>
  <si>
    <t>Q2TC230330</t>
  </si>
  <si>
    <t>BigFix</t>
  </si>
  <si>
    <t>PT. Dirgantara Indonesia</t>
  </si>
  <si>
    <t>100 After PO</t>
  </si>
  <si>
    <t>Q2TC230331</t>
  </si>
  <si>
    <t>Security Assessment</t>
  </si>
  <si>
    <t>PT. Bekasi Fajar Industrial Estate</t>
  </si>
  <si>
    <t>ATIC230088</t>
  </si>
  <si>
    <t>RLF BRI Singapura (Agustus 2024 - 2025)</t>
  </si>
  <si>
    <t>100% after License Deliverey</t>
  </si>
  <si>
    <t>ATIC230089</t>
  </si>
  <si>
    <t>RLF BRI Taiwan (Agustus 2024 - 2025)</t>
  </si>
  <si>
    <t>100% after License Delivery</t>
  </si>
  <si>
    <t>Q2TC230333</t>
  </si>
  <si>
    <t>pengadaan IRP Development dan Table Top</t>
  </si>
  <si>
    <t>Bank Sinarmas</t>
  </si>
  <si>
    <t>Q2TC230334</t>
  </si>
  <si>
    <t>Pengadaan email phishing services</t>
  </si>
  <si>
    <t>ASD230240</t>
  </si>
  <si>
    <t>Support Services for OneSumX Application Oktober 2024 - September 2025</t>
  </si>
  <si>
    <t>10 mandays after agreement</t>
  </si>
  <si>
    <t>ASD230243</t>
  </si>
  <si>
    <t>Annual Maintenance License CR-One Agustus 2024 - Juli 2025</t>
  </si>
  <si>
    <t>100% after Agreement</t>
  </si>
  <si>
    <t>Q2TC230270</t>
  </si>
  <si>
    <t xml:space="preserve">Managed Services SOC </t>
  </si>
  <si>
    <t>Indonesian Cloud</t>
  </si>
  <si>
    <t>After BAST</t>
  </si>
  <si>
    <t>25% on SD signed off</t>
  </si>
  <si>
    <t>25% on UAT signed off</t>
  </si>
  <si>
    <t>25% BAST Golive signed off</t>
  </si>
  <si>
    <t>30% after UAT</t>
  </si>
  <si>
    <t>20% after Go Live</t>
  </si>
  <si>
    <t>ASD230137</t>
  </si>
  <si>
    <t>QNB - RWA Solution</t>
  </si>
  <si>
    <t>Bank QNB Indonesia</t>
  </si>
  <si>
    <t>PO February</t>
  </si>
  <si>
    <t>SIT April</t>
  </si>
  <si>
    <t>UAT June</t>
  </si>
  <si>
    <t>Golive July</t>
  </si>
  <si>
    <t>30% after Design Doc Sign Off</t>
  </si>
  <si>
    <t>20% after UAT</t>
  </si>
  <si>
    <t>10 Mandays after support 1</t>
  </si>
  <si>
    <t xml:space="preserve">10 mandays after support 2 </t>
  </si>
  <si>
    <t>ASD230248</t>
  </si>
  <si>
    <t>Jasa Sewa Aplikasi Digicash 2024</t>
  </si>
  <si>
    <t>Bank BJB</t>
  </si>
  <si>
    <t>25% after BAST 3 Months Maintenance</t>
  </si>
  <si>
    <t>25% after BAST 6 Months Maintenance</t>
  </si>
  <si>
    <t>25% after BAST 9 Months Maintenance</t>
  </si>
  <si>
    <t>25% after BAST 12 Months Maintenance</t>
  </si>
  <si>
    <t>ASD230205</t>
  </si>
  <si>
    <t>Maintenance Pocketbank - Modul CASA</t>
  </si>
  <si>
    <t>ASD230254</t>
  </si>
  <si>
    <t>Asset Management BMC</t>
  </si>
  <si>
    <t>Transjakarta</t>
  </si>
  <si>
    <t>ASD230256</t>
  </si>
  <si>
    <t>Local Support Antasena CR-One 2024</t>
  </si>
  <si>
    <t>100% on Contract</t>
  </si>
  <si>
    <t>Q2TC230358</t>
  </si>
  <si>
    <t>HCL BigFix</t>
  </si>
  <si>
    <t>PT. Rizki Tujuhbelas Kelola</t>
  </si>
  <si>
    <t>100% After Delivery License</t>
  </si>
  <si>
    <t>Q2TC230360</t>
  </si>
  <si>
    <t>Audit Governance Services</t>
  </si>
  <si>
    <t>Bank Neo Commerce</t>
  </si>
  <si>
    <t>100% After BAST</t>
  </si>
  <si>
    <t>Q2TC230361</t>
  </si>
  <si>
    <t>Penetration Testing Services</t>
  </si>
  <si>
    <t>BFI</t>
  </si>
  <si>
    <t>ASD230259</t>
  </si>
  <si>
    <t>OP Risk Solusi</t>
  </si>
  <si>
    <t xml:space="preserve">License 100% on PO </t>
  </si>
  <si>
    <t>Services 25% on PO</t>
  </si>
  <si>
    <t>Services 30% on BAST SIT signed off</t>
  </si>
  <si>
    <t>Services 35% on BAST UAT signed off</t>
  </si>
  <si>
    <t>Services 10% on BAST Go Live signed off</t>
  </si>
  <si>
    <t>ASD230262</t>
  </si>
  <si>
    <t>Jasa Local Support LCR NSFR &amp; FRTB</t>
  </si>
  <si>
    <t>70% after Maintenance</t>
  </si>
  <si>
    <t>ASD230264</t>
  </si>
  <si>
    <t>Risk Modelling SAS</t>
  </si>
  <si>
    <t>25% on Kontrak</t>
  </si>
  <si>
    <t>20% on FSD</t>
  </si>
  <si>
    <t>20% on SIT</t>
  </si>
  <si>
    <t>25% on UAT</t>
  </si>
  <si>
    <t>10% Go Live</t>
  </si>
  <si>
    <t>ASD230265</t>
  </si>
  <si>
    <t>GRC Modelling SAS</t>
  </si>
  <si>
    <t>Graeta Venato</t>
  </si>
  <si>
    <t>Q2TC240008</t>
  </si>
  <si>
    <t>Audit dan Pentest GDB Bank Of China</t>
  </si>
  <si>
    <t>Bank of China</t>
  </si>
  <si>
    <t>50% after Final Report</t>
  </si>
  <si>
    <t>20% after UAT sign off</t>
  </si>
  <si>
    <t>10% after deploy production</t>
  </si>
  <si>
    <t>ASD240003</t>
  </si>
  <si>
    <t xml:space="preserve">CR - Awarding Transaksi SKN RTGS dan Case Negatif PX </t>
  </si>
  <si>
    <t>50% on PO/SPK signed</t>
  </si>
  <si>
    <t>35% on SD signed off</t>
  </si>
  <si>
    <t>15% on BAST Go Live signed off</t>
  </si>
  <si>
    <t>ASD240004</t>
  </si>
  <si>
    <t>Call Center</t>
  </si>
  <si>
    <t>Seabank</t>
  </si>
  <si>
    <t>ASD240006</t>
  </si>
  <si>
    <t>Digital Core Banking</t>
  </si>
  <si>
    <t>ATIC240003</t>
  </si>
  <si>
    <t>EM BRI KLN Taiwan 2023 - 2024 (R20)</t>
  </si>
  <si>
    <t>ATIC240004</t>
  </si>
  <si>
    <t>EM BRI KLN Singapura 2023 - 2024 (R18)</t>
  </si>
  <si>
    <t>ASD240021</t>
  </si>
  <si>
    <t>Annual Software Maintenance  Go-AML Bank of America May 1,2024- April 30,2025</t>
  </si>
  <si>
    <t>100% - On PO Release</t>
  </si>
  <si>
    <t>ASD240030</t>
  </si>
  <si>
    <t>Post Implementation Project - Periode Mei</t>
  </si>
  <si>
    <t>ASD240031</t>
  </si>
  <si>
    <t>Post Implementation Project - Periode June</t>
  </si>
  <si>
    <t>ASD240032</t>
  </si>
  <si>
    <t>Post Implementation Project - Periode July</t>
  </si>
  <si>
    <t>ASD240033</t>
  </si>
  <si>
    <t>Post Implementation Project - Periode Agustus</t>
  </si>
  <si>
    <t>ASD240034</t>
  </si>
  <si>
    <t>Post Implementation Project - Periode October</t>
  </si>
  <si>
    <t>ASD240035</t>
  </si>
  <si>
    <t>Post Implementation Project - Periode Nov</t>
  </si>
  <si>
    <t>ASD240036</t>
  </si>
  <si>
    <t>Post Implementation Project - Periode December</t>
  </si>
  <si>
    <t>100\</t>
  </si>
  <si>
    <t>ASD240040</t>
  </si>
  <si>
    <t>CR Otomatisasi ADB</t>
  </si>
  <si>
    <t>Q2TC240052</t>
  </si>
  <si>
    <t>Annual Pentest</t>
  </si>
  <si>
    <t>FIF (Federal International Finance</t>
  </si>
  <si>
    <t>ASD240041</t>
  </si>
  <si>
    <t>CR GL Engine FS (Restrukturisaasai COA)</t>
  </si>
  <si>
    <t>ASD240037</t>
  </si>
  <si>
    <t>Adira - CR OnesumX New Restruktur dan Migrasi Core</t>
  </si>
  <si>
    <t>50% after UAT</t>
  </si>
  <si>
    <t>30% after live</t>
  </si>
  <si>
    <t>Q2TC240064</t>
  </si>
  <si>
    <t>Managed Service SOC 2024 - 2025</t>
  </si>
  <si>
    <t>PT Berau Coal Energy Tbk</t>
  </si>
  <si>
    <t>Q2TC240070</t>
  </si>
  <si>
    <t xml:space="preserve">Renewal HCL BigFix </t>
  </si>
  <si>
    <t>ASD240042</t>
  </si>
  <si>
    <t xml:space="preserve">Open Mandays for Loyalty System </t>
  </si>
  <si>
    <t>ASD240020</t>
  </si>
  <si>
    <t>RR - Antasena and Sipina</t>
  </si>
  <si>
    <t>Hana Bank</t>
  </si>
  <si>
    <t xml:space="preserve">30% - PO received </t>
  </si>
  <si>
    <t>30% - UAT Sign Off</t>
  </si>
  <si>
    <t>30% - FSD Sign Off</t>
  </si>
  <si>
    <t>10% - Go Live Sign Offf</t>
  </si>
  <si>
    <t>ASD240047</t>
  </si>
  <si>
    <t>CR Antasena - Upgrade Obsolence</t>
  </si>
  <si>
    <t>Q2TC240076</t>
  </si>
  <si>
    <t>Annual Pentest 2024 -2025</t>
  </si>
  <si>
    <t>5% on Warranty</t>
  </si>
  <si>
    <t>ASD240048</t>
  </si>
  <si>
    <t>ANZ - CR Antasena Migrasi ke Java Azul</t>
  </si>
  <si>
    <t>ATIC240007</t>
  </si>
  <si>
    <t>EM BRI KLN Taiwan 2024 - 2025 (R20)</t>
  </si>
  <si>
    <t>100% after SPK</t>
  </si>
  <si>
    <t>ATIC240008</t>
  </si>
  <si>
    <t>EM BRI KLN Singapura 2024 - 2025 (R18)</t>
  </si>
  <si>
    <t>ASD240051</t>
  </si>
  <si>
    <t>Maintenance Jboss BRI Taiwan 2024 - 2025</t>
  </si>
  <si>
    <t>License after SPK</t>
  </si>
  <si>
    <t xml:space="preserve">Q1 </t>
  </si>
  <si>
    <t>Q2</t>
  </si>
  <si>
    <t>Q3</t>
  </si>
  <si>
    <t>Q4</t>
  </si>
  <si>
    <t>ASD240053</t>
  </si>
  <si>
    <t xml:space="preserve">CR Auto Cleansing - Loyalty System </t>
  </si>
  <si>
    <t>ASD240059</t>
  </si>
  <si>
    <t>CR Penambahan Originating Branch</t>
  </si>
  <si>
    <t>SIT</t>
  </si>
  <si>
    <t>ASD240060</t>
  </si>
  <si>
    <t>CR Rekam Jejak Pihak Lawan Antasena</t>
  </si>
  <si>
    <t>ASD240061</t>
  </si>
  <si>
    <t>BCA - Renewal Warranty &amp; Support Huawei Storage 2024</t>
  </si>
  <si>
    <t>ASD240063</t>
  </si>
  <si>
    <t>FIS - ETL Support CR FRTB for BTPN</t>
  </si>
  <si>
    <t>FIS Global</t>
  </si>
  <si>
    <t>ASD240066</t>
  </si>
  <si>
    <t>CR Penurunan Data Assesment Paylater SLIK</t>
  </si>
  <si>
    <t>ASD240069</t>
  </si>
  <si>
    <t>BTPN - Object Storage Quantum</t>
  </si>
  <si>
    <t>Andi Aliefah Suci</t>
  </si>
  <si>
    <t>DEL2</t>
  </si>
  <si>
    <t>Customer Engagement Center (CEC)</t>
  </si>
  <si>
    <t>ASD240070</t>
  </si>
  <si>
    <t>Correspondent Banking Solution</t>
  </si>
  <si>
    <t>PO</t>
  </si>
  <si>
    <t>UAT</t>
  </si>
  <si>
    <t>ASD240068</t>
  </si>
  <si>
    <t xml:space="preserve">Correspondent Banking </t>
  </si>
  <si>
    <t>Go Live</t>
  </si>
  <si>
    <t>Go LIve</t>
  </si>
  <si>
    <t>ASD240050</t>
  </si>
  <si>
    <t>ATS Database IClips Periode 2024 - 2025</t>
  </si>
  <si>
    <t>BNI Life</t>
  </si>
  <si>
    <t>ATIC240006</t>
  </si>
  <si>
    <t>Onsite Support &amp; JSL CBS BRI Singapura dan Taiwan</t>
  </si>
  <si>
    <t xml:space="preserve">Periode 1 </t>
  </si>
  <si>
    <t>Periode 2</t>
  </si>
  <si>
    <t>ASD240058</t>
  </si>
  <si>
    <t>Renewal AMS iClips Period 2024 - 2025</t>
  </si>
  <si>
    <t>ASD240067</t>
  </si>
  <si>
    <t>Perpanjangan Pendampingan SME Integrasi T24 BRIFIRST</t>
  </si>
  <si>
    <t>Periode 1</t>
  </si>
  <si>
    <t>Periode 3</t>
  </si>
  <si>
    <t>Periode 4</t>
  </si>
  <si>
    <t>ASD240071</t>
  </si>
  <si>
    <t>CR GL SAP</t>
  </si>
  <si>
    <t>ASD240072</t>
  </si>
  <si>
    <t>Treasury dan ALM</t>
  </si>
  <si>
    <t>100% After Delivery</t>
  </si>
  <si>
    <t>ASD240064</t>
  </si>
  <si>
    <t>Jasa Dukungan dan Pemeliharaan Aplikasi &amp; Sistem Microsoft Server</t>
  </si>
  <si>
    <t>100% After PO</t>
  </si>
  <si>
    <t>ASD240075</t>
  </si>
  <si>
    <t>Danamon - CR D-Wallet Close &amp; Downgrade Account via ARS &amp; Replacement Logo</t>
  </si>
  <si>
    <t>ASD240074</t>
  </si>
  <si>
    <t>BCAS - Loyalty System</t>
  </si>
  <si>
    <t>BCA Syariah</t>
  </si>
  <si>
    <t>Andrew Daniel Gunalan</t>
  </si>
  <si>
    <t>Q2TC250016</t>
  </si>
  <si>
    <t>SIEM Elastic</t>
  </si>
  <si>
    <t>PT Nusa Satu Inti Artha</t>
  </si>
  <si>
    <t>60% After PO</t>
  </si>
  <si>
    <t>20% After UAT</t>
  </si>
  <si>
    <t>M. Satria Manggala Yudha</t>
  </si>
  <si>
    <t>Q2TC250038</t>
  </si>
  <si>
    <t>Pengadaan ITAM (IT Asset Management) Axonius di PT. Infomedia Nusantara</t>
  </si>
  <si>
    <t>PT. Infomedia Nusantara</t>
  </si>
  <si>
    <t>50% after Implementation</t>
  </si>
  <si>
    <t>Mifta Husna Zsazsaning Ayu</t>
  </si>
  <si>
    <t>Q2TC250039</t>
  </si>
  <si>
    <t>CR 350 Bulk Mandays AML BNI</t>
  </si>
  <si>
    <t>Bank Negara Indonesia (Persero)</t>
  </si>
  <si>
    <t>20% after BAST</t>
  </si>
  <si>
    <t>30% after BAST</t>
  </si>
  <si>
    <t>30% after PO</t>
  </si>
  <si>
    <t>Q2TC250094</t>
  </si>
  <si>
    <t>Penetration Test App</t>
  </si>
  <si>
    <t>Credit Bureau Indonesia</t>
  </si>
  <si>
    <t>40% After PO</t>
  </si>
  <si>
    <t>60% After BAST</t>
  </si>
  <si>
    <t>Q2TC250145</t>
  </si>
  <si>
    <t>Email Phishing Attack</t>
  </si>
  <si>
    <t>Asuransi Candi Utama</t>
  </si>
  <si>
    <t>Q2TC250164</t>
  </si>
  <si>
    <t>Data Loss Prevention (DLP) Forcepoint di Bank Ganesha</t>
  </si>
  <si>
    <t>Bank Ganesha</t>
  </si>
  <si>
    <t>100% after PO Software</t>
  </si>
  <si>
    <t>50% after BAST Implementation</t>
  </si>
  <si>
    <t>Putra Ansa Gaora</t>
  </si>
  <si>
    <t>Q2TC250166</t>
  </si>
  <si>
    <t>IT Support (Source Coder)</t>
  </si>
  <si>
    <t>PT Acclime Consulting Indonesia</t>
  </si>
  <si>
    <t>20% after Local Support</t>
  </si>
  <si>
    <t>Q2TC250195</t>
  </si>
  <si>
    <t xml:space="preserve">Penambahan License 250 SCM Solarwind </t>
  </si>
  <si>
    <t>Bank CTBC Indonesia</t>
  </si>
  <si>
    <t>100% after Delivery License</t>
  </si>
  <si>
    <t>Q2TC250216</t>
  </si>
  <si>
    <t>Managed Services Penetration Test</t>
  </si>
  <si>
    <t>Nobu Bank</t>
  </si>
  <si>
    <t>Monthly 1</t>
  </si>
  <si>
    <t>Monthly 2</t>
  </si>
  <si>
    <t>Q2TC250220</t>
  </si>
  <si>
    <t>Watchlist Screening DowJones</t>
  </si>
  <si>
    <t>20% After BAST Final Report</t>
  </si>
  <si>
    <t>Q2TC250276</t>
  </si>
  <si>
    <t>Penetration Testing Bank Jakarta</t>
  </si>
  <si>
    <t>Bank Jakarta</t>
  </si>
  <si>
    <t>40% after Kick Off</t>
  </si>
  <si>
    <t>30% after First Test</t>
  </si>
  <si>
    <t>Q2TC250282</t>
  </si>
  <si>
    <t>CR IGA Integration to FMS Bank Berhad Malaysia</t>
  </si>
  <si>
    <t>CIMB Bank Berhad</t>
  </si>
  <si>
    <t>40% after PO</t>
  </si>
  <si>
    <t>20% after deployment</t>
  </si>
  <si>
    <t>Q2TC250305</t>
  </si>
  <si>
    <t>License SAST DAST Acunetix</t>
  </si>
  <si>
    <t>50% after PO Implementation</t>
  </si>
  <si>
    <t>Q2TC250307</t>
  </si>
  <si>
    <t>Privileged Access Management (PAM) di Bank Ganesha</t>
  </si>
  <si>
    <t>100% after PO license</t>
  </si>
  <si>
    <t>Q2TC250308</t>
  </si>
  <si>
    <t>Patch Management HCL BigFix di PT. Infomedia Nusantara</t>
  </si>
  <si>
    <t>100% after PO License</t>
  </si>
  <si>
    <t>Lizty Latifah</t>
  </si>
  <si>
    <t>Q2TC250323</t>
  </si>
  <si>
    <t>Renewal BigFix Lifecycle 2026</t>
  </si>
  <si>
    <t>100% After SPK &amp; BAST</t>
  </si>
  <si>
    <t>Q2TC250333</t>
  </si>
  <si>
    <t>AML Screening</t>
  </si>
  <si>
    <t>Danamas</t>
  </si>
  <si>
    <t>50% after PO Local Maintenance Support</t>
  </si>
  <si>
    <t>50% after BAST Local Maintenance Support</t>
  </si>
  <si>
    <t>Q2TC250348</t>
  </si>
  <si>
    <t>CR Split Unhold Listener</t>
  </si>
  <si>
    <t>Merlin</t>
  </si>
  <si>
    <t>Q2TC250352</t>
  </si>
  <si>
    <t>Renewal Privileged Access Management Krontech di DTA Xignature Periode 2026-2027</t>
  </si>
  <si>
    <t>DTA Xignature</t>
  </si>
  <si>
    <t>Q2TC250353</t>
  </si>
  <si>
    <t>Renewal License IBM Verifiy Year 2: Identity Access Management</t>
  </si>
  <si>
    <t>1. 70% After License delivered</t>
  </si>
  <si>
    <t>2. 30% After PM CM</t>
  </si>
  <si>
    <t>Q2TC250356</t>
  </si>
  <si>
    <t>Pentest Web &amp; API &amp; Audit IT QRIS + FDS</t>
  </si>
  <si>
    <t>PT Cakra Ultima Sejahtera</t>
  </si>
  <si>
    <t>45% After PO</t>
  </si>
  <si>
    <t>30% After BAST First Test</t>
  </si>
  <si>
    <t>Q2TC250357</t>
  </si>
  <si>
    <t>Renewal 250 License SCM Solarwind</t>
  </si>
  <si>
    <t>Q2TC250361</t>
  </si>
  <si>
    <t>Software Maintenance Support in CIMB Bank Berhad (2026-2027)</t>
  </si>
  <si>
    <t>Q2TC250362</t>
  </si>
  <si>
    <t>Renewal License Titus dan Local Support 2026</t>
  </si>
  <si>
    <t>Q2TC250363</t>
  </si>
  <si>
    <t>Renewal License Tenable One 2026</t>
  </si>
  <si>
    <t>PT. Asuransi Jiwa Generali Indonesia</t>
  </si>
  <si>
    <t>Q2TC250359</t>
  </si>
  <si>
    <t>Renewal Tenable dan Local Support 2026</t>
  </si>
  <si>
    <t>Q2TC250355</t>
  </si>
  <si>
    <t>Penambahan Bulk Pentest &amp; Audit Year 2026-2027</t>
  </si>
  <si>
    <t>PT Bank Raya Indonesia Tbk</t>
  </si>
  <si>
    <t>50% Tahun 2026</t>
  </si>
  <si>
    <t>50% Tahun 2027</t>
  </si>
  <si>
    <t>Q2TC250371</t>
  </si>
  <si>
    <t>Penetration Test</t>
  </si>
  <si>
    <t>Sun Life Insurance</t>
  </si>
  <si>
    <t>Q2TC250373</t>
  </si>
  <si>
    <t>Jtrust Bank</t>
  </si>
  <si>
    <t>Q2TC250376</t>
  </si>
  <si>
    <t>Email Phishing</t>
  </si>
  <si>
    <t>Bank Resona Perdania</t>
  </si>
  <si>
    <t>100% After BAST Email Phishing 1</t>
  </si>
  <si>
    <t>Q2TC250379</t>
  </si>
  <si>
    <t>Audit IT POJK</t>
  </si>
  <si>
    <t>Q2TC250383</t>
  </si>
  <si>
    <t>30% After PO</t>
  </si>
  <si>
    <t>70% After BAST Final Report</t>
  </si>
  <si>
    <t>Q2TC250384</t>
  </si>
  <si>
    <t>Re-certification ISO27001</t>
  </si>
  <si>
    <t>DP 20% After SPK &amp; BAST Kick Off</t>
  </si>
  <si>
    <t>1. 30% After sertifikasi</t>
  </si>
  <si>
    <t>2. 50% After sertifikat rilis</t>
  </si>
  <si>
    <t>Elsa Yolanda Simanjuntak</t>
  </si>
  <si>
    <t>Q2TC250339</t>
  </si>
  <si>
    <t>Project Garuda</t>
  </si>
  <si>
    <t>Q2TC250387</t>
  </si>
  <si>
    <t>Pentest API &amp; Web &amp; Audit IT</t>
  </si>
  <si>
    <t>PAM Digital Teknologi</t>
  </si>
  <si>
    <t>Q2TC250388</t>
  </si>
  <si>
    <t>Training Security Awareness Cyber Security</t>
  </si>
  <si>
    <t>Q2TC250397</t>
  </si>
  <si>
    <t>Managed Services Patch Management</t>
  </si>
  <si>
    <t>50% After Kick Off Meeting</t>
  </si>
  <si>
    <t>Q2TC250399</t>
  </si>
  <si>
    <t>Add On Modul TACACS PAM Krontech</t>
  </si>
  <si>
    <t>Q2TC250402</t>
  </si>
  <si>
    <t>Bulk Mandays Penetration Testing</t>
  </si>
  <si>
    <t>PT Bank Aladin Syariah Tbk</t>
  </si>
  <si>
    <t>Q2TC250404</t>
  </si>
  <si>
    <t>Pengadaan Jasa Konsultan Penguatan Tata Kelola Keamanan Siber Berbasis Regulasi dan Standar Internasional Bank Jakarta</t>
  </si>
  <si>
    <t>Q2TC250410</t>
  </si>
  <si>
    <t>Audit Surveillance-1 TuvSud</t>
  </si>
  <si>
    <t>Bank of India</t>
  </si>
  <si>
    <t>50% After SPK &amp; BAST Kick Off</t>
  </si>
  <si>
    <t>50% After BAST Audit Report ditandatangani</t>
  </si>
  <si>
    <t>Q2TC250409</t>
  </si>
  <si>
    <t>Data Loss Prevention (DLP), Data Security Posture Management (DSPM) Forcepoint di PT. Infomedia Nusantara</t>
  </si>
  <si>
    <t>100% after PO (Software)</t>
  </si>
  <si>
    <t>40 % dibayarkan setelah PO diterima (Implementasi)</t>
  </si>
  <si>
    <t>30 % dibayarkan UAT</t>
  </si>
  <si>
    <t>30 % dibayarkan setelah Go Live (implementasi)</t>
  </si>
  <si>
    <t>Monthly 3</t>
  </si>
  <si>
    <t>Monthly 4</t>
  </si>
  <si>
    <t>Q2TC250347</t>
  </si>
  <si>
    <t>Identity Access Management IBM Verify</t>
  </si>
  <si>
    <t>1. 100% After BAST License</t>
  </si>
  <si>
    <t xml:space="preserve">2. 100% After BAST Implementasi </t>
  </si>
  <si>
    <t>Q2TC250236</t>
  </si>
  <si>
    <t>Local Support PAM Cyberark</t>
  </si>
  <si>
    <t>Q2TC260004</t>
  </si>
  <si>
    <t xml:space="preserve">Renewal Local Support AML </t>
  </si>
  <si>
    <t>Local Maintenance Support: Q1-Q4</t>
  </si>
  <si>
    <t>Q2TC250369</t>
  </si>
  <si>
    <t>Renewal dan Local Support HCL BigFix 2026</t>
  </si>
  <si>
    <t>100% after delivery license</t>
  </si>
  <si>
    <t>Pandu R Akbar</t>
  </si>
  <si>
    <t>Q2TC260009</t>
  </si>
  <si>
    <t>Renewal License &amp; Local Support CyberArk</t>
  </si>
  <si>
    <t>Bussan Auto Finance</t>
  </si>
  <si>
    <t>Q2TC260010</t>
  </si>
  <si>
    <t>Renewal License &amp; Local Support Opentext Fortify</t>
  </si>
  <si>
    <t>Q2TC260011</t>
  </si>
  <si>
    <t>Bulkmandays Pentest 50MD</t>
  </si>
  <si>
    <t xml:space="preserve">100% After PO </t>
  </si>
  <si>
    <t>Q2TC260012</t>
  </si>
  <si>
    <t>Addtional 12 Mandays Remedatoin Pluxee Tunisia Marocco</t>
  </si>
  <si>
    <t>Pluxee Tunisia</t>
  </si>
  <si>
    <t>Q2TC260013</t>
  </si>
  <si>
    <t>Pengadaan Server di PT. Infomedia Nusantara</t>
  </si>
  <si>
    <t>Q2TC260014</t>
  </si>
  <si>
    <t>Project License Access Review Falaina</t>
  </si>
  <si>
    <t>Q2TC260020</t>
  </si>
  <si>
    <t>Pentest Web BFI Finance</t>
  </si>
  <si>
    <t>BFI Finance</t>
  </si>
  <si>
    <t>50% After BAST Final Report</t>
  </si>
  <si>
    <t>Q2TC260021</t>
  </si>
  <si>
    <t>Q2TC260022</t>
  </si>
  <si>
    <t>SaaS IFMX  Actimize X-Sight</t>
  </si>
  <si>
    <t>100% After SPK &amp; BAST License</t>
  </si>
  <si>
    <t>Q2TC260006</t>
  </si>
  <si>
    <t>Certificate Lifecycle Management</t>
  </si>
  <si>
    <t>Bank Mega</t>
  </si>
  <si>
    <t>Q2TC250065</t>
  </si>
  <si>
    <t xml:space="preserve">SOAR </t>
  </si>
  <si>
    <t>100% Implementasi</t>
  </si>
  <si>
    <t>Q2TC260007</t>
  </si>
  <si>
    <t>DAST (Dynamic Application Security Testing)</t>
  </si>
  <si>
    <t>PT. Bank SMBC Indonesia Tbk</t>
  </si>
  <si>
    <t>Q2TC260026</t>
  </si>
  <si>
    <t>Q2TC260027</t>
  </si>
  <si>
    <t>Q2TC260030</t>
  </si>
  <si>
    <t>ID Verification Fazpass</t>
  </si>
  <si>
    <t>Akasanet Bumi Nusantara</t>
  </si>
  <si>
    <t>Q2TC250289</t>
  </si>
  <si>
    <t>IFMX Retail Local Support 2026-2027</t>
  </si>
  <si>
    <t>Q2TC260033</t>
  </si>
  <si>
    <t>Retest VAPT WebApps SOS</t>
  </si>
  <si>
    <t>PT KDDI Indonesia</t>
  </si>
  <si>
    <t>100% After BAST Final Report</t>
  </si>
  <si>
    <t>Q2TC260040</t>
  </si>
  <si>
    <t>SAST &amp; DAST Fortify</t>
  </si>
  <si>
    <t>Mandiri Sekuritas</t>
  </si>
  <si>
    <t>Q2TC260037</t>
  </si>
  <si>
    <t>AML Transaction Monitoring NICE Actimize</t>
  </si>
  <si>
    <t>Bank BRI</t>
  </si>
  <si>
    <t>50% After SPK</t>
  </si>
  <si>
    <t>50% After Project Finish</t>
  </si>
  <si>
    <t>Q2TC260041</t>
  </si>
  <si>
    <t>SAST Fortify MTI</t>
  </si>
  <si>
    <t>PT. Mitra Transaksi Indonesia</t>
  </si>
  <si>
    <t>100% After License Delivery</t>
  </si>
  <si>
    <t>Implementasi</t>
  </si>
  <si>
    <t>Local Support</t>
  </si>
  <si>
    <t>Q2TC260044</t>
  </si>
  <si>
    <t>SIEM Elastic dan Manage Services</t>
  </si>
  <si>
    <t>Biro Klasifikasi Indonesia</t>
  </si>
  <si>
    <t>1. 100% After SPK &amp; BAST License</t>
  </si>
  <si>
    <t>Q2TC260046</t>
  </si>
  <si>
    <t>Audit ASPI &amp; Penetration Testing API Mirae Asset Sekuritas</t>
  </si>
  <si>
    <t>PT Mirae Asset Sekuritas Indonesia</t>
  </si>
  <si>
    <t>Q2TC250354</t>
  </si>
  <si>
    <t>BigFix Compliance 500 Server</t>
  </si>
  <si>
    <t>Q2TC260050</t>
  </si>
  <si>
    <t>Renewal License HCL BigFix &amp; Local Support Allianz Life Indonesia</t>
  </si>
  <si>
    <t>Allianz Life Indonesia</t>
  </si>
  <si>
    <t>100% After license delivered</t>
  </si>
  <si>
    <t>50% After PM ke-1</t>
  </si>
  <si>
    <t>50% After PM ke-3</t>
  </si>
  <si>
    <t>Q2TC260051</t>
  </si>
  <si>
    <t>Renewal License HCL BigFix &amp; Local Support CNAF 2027</t>
  </si>
  <si>
    <t>CIMB Niaga Auto Finance</t>
  </si>
  <si>
    <t xml:space="preserve">100% After License </t>
  </si>
  <si>
    <t>100% Maintenance Upfront</t>
  </si>
  <si>
    <t>Q2TC260052</t>
  </si>
  <si>
    <t>Renewal Maintenance AML Bank Mayapada</t>
  </si>
  <si>
    <t>Bank Mayapada International</t>
  </si>
  <si>
    <t>Q2TC260053</t>
  </si>
  <si>
    <t>License IFMX Non Retail CIMB SG</t>
  </si>
  <si>
    <t>CIMB Bank Berhad, Singapore Branch</t>
  </si>
  <si>
    <t>Q2TC260058</t>
  </si>
  <si>
    <t>CR Enhancement ETL BigData Enhancement (Impala to Hive)</t>
  </si>
  <si>
    <t>30% setelah Golive</t>
  </si>
  <si>
    <t>10% 1 bulan setelah golive</t>
  </si>
  <si>
    <t>Q2TC260059</t>
  </si>
  <si>
    <t>Patch Management Bigfix</t>
  </si>
  <si>
    <t>Prodia</t>
  </si>
  <si>
    <t>100% after PO - License</t>
  </si>
  <si>
    <t>Q2TC260055</t>
  </si>
  <si>
    <t>Penetration Test WebApps Acuity &amp; Aura</t>
  </si>
  <si>
    <t>Q2TC260060</t>
  </si>
  <si>
    <t xml:space="preserve">Pengadaan Audit ISO 27001:2022 </t>
  </si>
  <si>
    <t>ORIX Indonesia Finance</t>
  </si>
  <si>
    <t>Q2TC260062</t>
  </si>
  <si>
    <t xml:space="preserve">Threat Intel MTI </t>
  </si>
  <si>
    <t>Q2TC260065</t>
  </si>
  <si>
    <t>Corporate Banking Local Maintenance Support Year 2 CIMB Berhad</t>
  </si>
  <si>
    <t>Q2TC260071</t>
  </si>
  <si>
    <t>Trimegah Sekuritas</t>
  </si>
  <si>
    <t>Q2TC260032</t>
  </si>
  <si>
    <t>100% After BAST Installation</t>
  </si>
  <si>
    <t>25% After Quarterly 1</t>
  </si>
  <si>
    <t>25% After Quarterly 2</t>
  </si>
  <si>
    <t>25% After Quarterly 3</t>
  </si>
  <si>
    <t>25% After Quarterly 4</t>
  </si>
  <si>
    <t>Q2TC260064</t>
  </si>
  <si>
    <t>CipherTrust Thales Encryption</t>
  </si>
  <si>
    <t>30% After BAST Installation (Implementation)</t>
  </si>
  <si>
    <t>40% After BAST UAT (Implementation)</t>
  </si>
  <si>
    <t>30% After BAST Go-Live Project (Implementation)</t>
  </si>
  <si>
    <t>Q2TC260072</t>
  </si>
  <si>
    <t>Enhancement Swift Release MX 2026</t>
  </si>
  <si>
    <t>Q2TC260073</t>
  </si>
  <si>
    <t>CR Resizing FA TR Infrastructure Configuration</t>
  </si>
  <si>
    <t>60% after PO</t>
  </si>
  <si>
    <t>40% after Go-Live</t>
  </si>
  <si>
    <t>Q2TC260075</t>
  </si>
  <si>
    <t>Privilege Identity Management 5 User</t>
  </si>
  <si>
    <t>Q2TC250057</t>
  </si>
  <si>
    <t>Data Loss Prevention (DLP) Forcepoint</t>
  </si>
  <si>
    <t>2. 100% After BAST Implementasi</t>
  </si>
  <si>
    <t>Q2TC260077</t>
  </si>
  <si>
    <t>Trust Decision Fraud Management Construction China Bank</t>
  </si>
  <si>
    <t>Global Innovation Technologies</t>
  </si>
  <si>
    <t>Q2TC260079</t>
  </si>
  <si>
    <t>Software Maintenance Support Actimize Watch</t>
  </si>
  <si>
    <t>Q2TC260080</t>
  </si>
  <si>
    <t>Pentest 2026</t>
  </si>
  <si>
    <t>PLN Insurance</t>
  </si>
  <si>
    <t>50% after First Report</t>
  </si>
  <si>
    <t>Q2TC260084</t>
  </si>
  <si>
    <t>Pendampingan &amp; Sertifikasi ISO 27001</t>
  </si>
  <si>
    <t>40% After BAST Gap Analysis Report</t>
  </si>
  <si>
    <t>30% After BAST Re-certification</t>
  </si>
  <si>
    <t>Monthly 5</t>
  </si>
  <si>
    <t>Monthly 6</t>
  </si>
  <si>
    <t>Monthly 7</t>
  </si>
  <si>
    <t>Monthly 8</t>
  </si>
  <si>
    <t>Monthly 9</t>
  </si>
  <si>
    <t>Monthly 10</t>
  </si>
  <si>
    <t>Monthly 11</t>
  </si>
  <si>
    <t>Monthly 12</t>
  </si>
  <si>
    <t>Q2TC260083</t>
  </si>
  <si>
    <t>Implementation IFMX Non Retail CIMB SG</t>
  </si>
  <si>
    <t>10% After PO</t>
  </si>
  <si>
    <t>20% After Sign Off FSD</t>
  </si>
  <si>
    <t>10% After SIT</t>
  </si>
  <si>
    <t>30% After Production Deployment</t>
  </si>
  <si>
    <t>10% After Post Go Live Warranty</t>
  </si>
  <si>
    <t>3. 100% After BAST GoLive</t>
  </si>
  <si>
    <t>Q2TC250358</t>
  </si>
  <si>
    <t>Pentest Annually (3-4 Apps &amp; Web) dan Email Phising</t>
  </si>
  <si>
    <t>25% Setelah BAST Kick Off</t>
  </si>
  <si>
    <t>45% Setelah BAST Email Phising</t>
  </si>
  <si>
    <t>15% Setelah BAST Pentest</t>
  </si>
  <si>
    <t>Q2TC260085</t>
  </si>
  <si>
    <t>Fraud Detection Solution for Bank Indonesia</t>
  </si>
  <si>
    <t>30% After PKS Signed</t>
  </si>
  <si>
    <t>50% After Production Deployment</t>
  </si>
  <si>
    <t>20% After Post Go Live Warranty</t>
  </si>
  <si>
    <t>50% After First Report Pentest</t>
  </si>
  <si>
    <t>Q2TC260086</t>
  </si>
  <si>
    <t>Renewal Proxy KB Bank 2026-2027</t>
  </si>
  <si>
    <t>KB Bank</t>
  </si>
  <si>
    <t>25% After BAST Final Report</t>
  </si>
  <si>
    <t>Q2TC260087</t>
  </si>
  <si>
    <t>Firewall Sangfor</t>
  </si>
  <si>
    <t>PT Dam Korporindo Digital</t>
  </si>
  <si>
    <t>100% After Delivery License for Hardware, License, Implementation &amp; Support</t>
  </si>
  <si>
    <t>Q2TC260081</t>
  </si>
  <si>
    <t>CR Digital Operational Excellence (DOE)</t>
  </si>
  <si>
    <t>20% after Deployment</t>
  </si>
  <si>
    <t>Q2TC260091</t>
  </si>
  <si>
    <t>Top Up Pentest Annual</t>
  </si>
  <si>
    <t xml:space="preserve">Pentest Annual </t>
  </si>
  <si>
    <t>Pentest Annual</t>
  </si>
  <si>
    <t>Q2TC260003</t>
  </si>
  <si>
    <t>Tenable SC MTI</t>
  </si>
  <si>
    <t>Q2TC260094</t>
  </si>
  <si>
    <t>Renewal BigFix atau New Endpoint Tools</t>
  </si>
  <si>
    <t>Q2TC260095</t>
  </si>
  <si>
    <t>CR  Unhold Transaction for FDS Corporate Banking</t>
  </si>
  <si>
    <t>100% After SPK Released</t>
  </si>
  <si>
    <t>Q2TC260096</t>
  </si>
  <si>
    <t>Resertifikasi ISO 27001 &amp; Pendampingan Konsultan</t>
  </si>
  <si>
    <t>Bank Jtrust Indonesia</t>
  </si>
  <si>
    <t>30% After BAST Re-Certification</t>
  </si>
  <si>
    <t>Q2TC260097</t>
  </si>
  <si>
    <t>Fraud Detection System Sokratech</t>
  </si>
  <si>
    <t>Allo Bank Indonesia</t>
  </si>
  <si>
    <t>20% setelah golive</t>
  </si>
  <si>
    <t>Q2TC260098</t>
  </si>
  <si>
    <t>Pentest Catalog SMBC: gen AI</t>
  </si>
  <si>
    <t>85% After UAT retest</t>
  </si>
  <si>
    <t>15% after retest prod</t>
  </si>
  <si>
    <t>PRODUCT</t>
  </si>
  <si>
    <t>DETAIL_PRODUCT</t>
  </si>
  <si>
    <t>TOTAL_SALES</t>
  </si>
  <si>
    <t>TOTAL_COGS</t>
  </si>
  <si>
    <t>TOTAL_SALES_CL</t>
  </si>
  <si>
    <t>DIVISI_NAME</t>
  </si>
  <si>
    <t>Q2TC200003</t>
  </si>
  <si>
    <t>Own Services 3rd Product</t>
  </si>
  <si>
    <t>Go AML</t>
  </si>
  <si>
    <t>Manage Security Services</t>
  </si>
  <si>
    <t>Service Actimize</t>
  </si>
  <si>
    <t xml:space="preserve">CR </t>
  </si>
  <si>
    <t>Project Management &amp; Support</t>
  </si>
  <si>
    <t>ATS CR-ONE</t>
  </si>
  <si>
    <t>services internal</t>
  </si>
  <si>
    <t>FCRS</t>
  </si>
  <si>
    <t>Backup</t>
  </si>
  <si>
    <t>implementation</t>
  </si>
  <si>
    <t>Business Development 2</t>
  </si>
  <si>
    <t>Own Services for WKFS Product</t>
  </si>
  <si>
    <t>upgrade onesumx</t>
  </si>
  <si>
    <t>IFRS</t>
  </si>
  <si>
    <t>License Microfocus Fortify</t>
  </si>
  <si>
    <t>Cyber Security Services</t>
  </si>
  <si>
    <t>Software LMS</t>
  </si>
  <si>
    <t>Implementation</t>
  </si>
  <si>
    <t>Solution Architect</t>
  </si>
  <si>
    <t>Own Services for Newgen Product</t>
  </si>
  <si>
    <t>Risk Management &amp; Support Maintenance</t>
  </si>
  <si>
    <t>Own Services for CR-ONE Product</t>
  </si>
  <si>
    <t>Services internal</t>
  </si>
  <si>
    <t>Regulatory Reporting</t>
  </si>
  <si>
    <t>Own Services for Actimize Product</t>
  </si>
  <si>
    <t>CR</t>
  </si>
  <si>
    <t>Implementation Security Governance Service</t>
  </si>
  <si>
    <t>MOCP OSV for Implementation Pocketbank Product</t>
  </si>
  <si>
    <t>cr bulk disbursement</t>
  </si>
  <si>
    <t>MOC Product (MOCP)</t>
  </si>
  <si>
    <t>CR Dwallet</t>
  </si>
  <si>
    <t>Audit Consultant</t>
  </si>
  <si>
    <t>License CR-One Product</t>
  </si>
  <si>
    <t>License modul LLD</t>
  </si>
  <si>
    <t>ATS Cr-One</t>
  </si>
  <si>
    <t>CTP-CORB Own Services for Others Product</t>
  </si>
  <si>
    <t>opex</t>
  </si>
  <si>
    <t>Banking Business Solution Delivery (BBSD)</t>
  </si>
  <si>
    <t>License sunGL Product</t>
  </si>
  <si>
    <t>license</t>
  </si>
  <si>
    <t>License Pocketbank</t>
  </si>
  <si>
    <t>ATS tahun pertama</t>
  </si>
  <si>
    <t>CR Dcash withdrawal</t>
  </si>
  <si>
    <t>CTP-RSB Own Services for Temenos Product</t>
  </si>
  <si>
    <t>Opex Mandays</t>
  </si>
  <si>
    <t>Retail, Sharia Banking &amp; Microfinance (RSB)</t>
  </si>
  <si>
    <t>LKPBU</t>
  </si>
  <si>
    <t>License Imperva Product</t>
  </si>
  <si>
    <t>Cloud WAF</t>
  </si>
  <si>
    <t>Q2 Implementation Services</t>
  </si>
  <si>
    <t>WAF - Imperva</t>
  </si>
  <si>
    <t>CLOUD WAF IMPERVA</t>
  </si>
  <si>
    <t>Storage</t>
  </si>
  <si>
    <t>Network Firewall</t>
  </si>
  <si>
    <t>Vendor Management &amp; Presales</t>
  </si>
  <si>
    <t>Opex</t>
  </si>
  <si>
    <t>Pentest</t>
  </si>
  <si>
    <t>Bulk Pentest</t>
  </si>
  <si>
    <t>CTP-CORB Own Services for Mambu Product</t>
  </si>
  <si>
    <t xml:space="preserve">Core Banking Micro Loan </t>
  </si>
  <si>
    <t>CTP-TI Own Services for Temenos Product</t>
  </si>
  <si>
    <t>T24</t>
  </si>
  <si>
    <t>Technical Implementation &amp; Support</t>
  </si>
  <si>
    <t>OPEX Mandays</t>
  </si>
  <si>
    <t>Security Operation Center Services</t>
  </si>
  <si>
    <t>MS SOC</t>
  </si>
  <si>
    <t>License Forcepoint</t>
  </si>
  <si>
    <t>endpoint</t>
  </si>
  <si>
    <t>Titus Data Classification</t>
  </si>
  <si>
    <t>Axonius</t>
  </si>
  <si>
    <t>Titus</t>
  </si>
  <si>
    <t>License APM Dynatrace</t>
  </si>
  <si>
    <t xml:space="preserve">DEM </t>
  </si>
  <si>
    <t>SOC</t>
  </si>
  <si>
    <t>ATS Renewal CR One</t>
  </si>
  <si>
    <t>Own Services for Dynatrace Product</t>
  </si>
  <si>
    <t>Renewal Maintenance Aplikasi DT period 2024 - 2025</t>
  </si>
  <si>
    <t>Software Platform</t>
  </si>
  <si>
    <t>Own Services for Pegasystem Product</t>
  </si>
  <si>
    <t>Maintenance JSL PEGA</t>
  </si>
  <si>
    <t>License CR-One Antasena</t>
  </si>
  <si>
    <t>Q2TC230300</t>
  </si>
  <si>
    <t>SIEM</t>
  </si>
  <si>
    <t>Own Services for Dell Product</t>
  </si>
  <si>
    <t>SAN SWITCH - Instalasi dan maintenance</t>
  </si>
  <si>
    <t>pentest</t>
  </si>
  <si>
    <t>License HCL Product</t>
  </si>
  <si>
    <t>License</t>
  </si>
  <si>
    <t>Audit</t>
  </si>
  <si>
    <t>License Temenos</t>
  </si>
  <si>
    <t>RLF</t>
  </si>
  <si>
    <t>PM Services for 3rd Party Product</t>
  </si>
  <si>
    <t>services</t>
  </si>
  <si>
    <t>Own Services for Pocketbank Product</t>
  </si>
  <si>
    <t>OPEX Mandays (Maintenance)</t>
  </si>
  <si>
    <t>Mobility and Omni Channel (MOC)</t>
  </si>
  <si>
    <t>Maintenance &amp; Support (MAS)</t>
  </si>
  <si>
    <t xml:space="preserve">Maintenance CASA </t>
  </si>
  <si>
    <t>Implementation BMC Product</t>
  </si>
  <si>
    <t>BMC</t>
  </si>
  <si>
    <t>Audit SME</t>
  </si>
  <si>
    <t>Own Services for SAS Product</t>
  </si>
  <si>
    <t>SAS</t>
  </si>
  <si>
    <t>License SAS</t>
  </si>
  <si>
    <t>Risk Solution</t>
  </si>
  <si>
    <t>Own Service for FIS  Product</t>
  </si>
  <si>
    <t>Own Services for Quantum Product</t>
  </si>
  <si>
    <t>Quantum</t>
  </si>
  <si>
    <t>System Platform</t>
  </si>
  <si>
    <t>Audit Mobile Banking</t>
  </si>
  <si>
    <t>Pentest Mobile GDB</t>
  </si>
  <si>
    <t>Own Services for Campsys Product</t>
  </si>
  <si>
    <t>Campsys</t>
  </si>
  <si>
    <t>Payment &amp; Loyalty (PAL)</t>
  </si>
  <si>
    <t>Implementation Egeroo Product</t>
  </si>
  <si>
    <t>Egeroo Product</t>
  </si>
  <si>
    <t>Core Banking</t>
  </si>
  <si>
    <t>EM</t>
  </si>
  <si>
    <t>Temenos Services</t>
  </si>
  <si>
    <t>ATS CR-One</t>
  </si>
  <si>
    <t>Post Implementation Mei</t>
  </si>
  <si>
    <t>Post Implementation July</t>
  </si>
  <si>
    <t>Post Implementation Sept</t>
  </si>
  <si>
    <t>Post Implementation Oct</t>
  </si>
  <si>
    <t>Post Implementation Nov</t>
  </si>
  <si>
    <t>Post Implementation Dec</t>
  </si>
  <si>
    <t>CR OnesumX</t>
  </si>
  <si>
    <t>CTP-CORB Own Services for Temenos Product</t>
  </si>
  <si>
    <t>Own Services for Finstudio Product</t>
  </si>
  <si>
    <t>Managed services SOC</t>
  </si>
  <si>
    <t>Forcepoint</t>
  </si>
  <si>
    <t>renewal HCL BigFix</t>
  </si>
  <si>
    <t>RR - Antasena dan SIpina</t>
  </si>
  <si>
    <t>Annual pentest</t>
  </si>
  <si>
    <t>migrasi java azul</t>
  </si>
  <si>
    <t>Oracle</t>
  </si>
  <si>
    <t>ATS</t>
  </si>
  <si>
    <t>CTP-SPMC Own Services for Maintenance Temenos Product</t>
  </si>
  <si>
    <t>Maintenance</t>
  </si>
  <si>
    <t>Support &amp; Maintenance (SPMC)</t>
  </si>
  <si>
    <t>License Redhat</t>
  </si>
  <si>
    <t>Jboss</t>
  </si>
  <si>
    <t>Services for Campsys Loyalty Management System</t>
  </si>
  <si>
    <t>CR Auto Cleansing</t>
  </si>
  <si>
    <t>MOC Maintenance &amp; PAYS (MOCMP)</t>
  </si>
  <si>
    <t>renewal storage huawei</t>
  </si>
  <si>
    <t>Own Services for FIS Payment Product</t>
  </si>
  <si>
    <t>ETL Support untuk CR FRTB BTPN</t>
  </si>
  <si>
    <t>storage</t>
  </si>
  <si>
    <t>Trade Finance</t>
  </si>
  <si>
    <t>trade finance</t>
  </si>
  <si>
    <t>EbaoTech Product</t>
  </si>
  <si>
    <t>EBao</t>
  </si>
  <si>
    <t>Service for Implementation</t>
  </si>
  <si>
    <t>BRIFIRST</t>
  </si>
  <si>
    <t>Software Microsoft</t>
  </si>
  <si>
    <t>Microsoft</t>
  </si>
  <si>
    <t>License Campsys Loyalty Management System</t>
  </si>
  <si>
    <t>license loyalty</t>
  </si>
  <si>
    <t>License SIEM Elastic</t>
  </si>
  <si>
    <t>License IBM</t>
  </si>
  <si>
    <t>Own Services Maintenance Actimize</t>
  </si>
  <si>
    <t>CR Bulk Mandays</t>
  </si>
  <si>
    <t>Financial Crime Compliance</t>
  </si>
  <si>
    <t>License Data Loss Prevention</t>
  </si>
  <si>
    <t xml:space="preserve">Server Configuration Monitor </t>
  </si>
  <si>
    <t>File Integrity Monitoring</t>
  </si>
  <si>
    <t xml:space="preserve">Implementation Solarwind Product </t>
  </si>
  <si>
    <t xml:space="preserve">Maintenance Solarwind Product </t>
  </si>
  <si>
    <t>Local Support Solarwind</t>
  </si>
  <si>
    <t>Software Forcepoint</t>
  </si>
  <si>
    <t>Own Service for HCL Product</t>
  </si>
  <si>
    <t xml:space="preserve">Own Services for Tenable Product </t>
  </si>
  <si>
    <t>Local Maintenance Support</t>
  </si>
  <si>
    <t>Remediation Services</t>
  </si>
  <si>
    <t>IT Support Source Coder</t>
  </si>
  <si>
    <t>Shadowing by Q2 Team</t>
  </si>
  <si>
    <t>Upgrade Solarwind</t>
  </si>
  <si>
    <t>Penetration Test Nobu Bank</t>
  </si>
  <si>
    <t>License Actimize</t>
  </si>
  <si>
    <t>Financial Crime Search DowJones</t>
  </si>
  <si>
    <t>Q2TC250210</t>
  </si>
  <si>
    <t>sumsub</t>
  </si>
  <si>
    <t>Q2TC250235</t>
  </si>
  <si>
    <t>Surveillance 2 ISO 27001</t>
  </si>
  <si>
    <t>Floq Exchange</t>
  </si>
  <si>
    <t>Penetration Testing di Bank Jakarta</t>
  </si>
  <si>
    <t>CR IGA Integration Requirement to FMS</t>
  </si>
  <si>
    <t>Local Support PM CM</t>
  </si>
  <si>
    <t xml:space="preserve"> Acunetix Web Application Security</t>
  </si>
  <si>
    <t>License CyberArk Product</t>
  </si>
  <si>
    <t>Software PAM</t>
  </si>
  <si>
    <t>Own Services for CyberArk Product</t>
  </si>
  <si>
    <t>Implemantation</t>
  </si>
  <si>
    <t>Software HCL BigFix</t>
  </si>
  <si>
    <t>Implementation HCL Big FIx</t>
  </si>
  <si>
    <t>Renewal BigFix LifeCycle 2026</t>
  </si>
  <si>
    <t>Managed Services</t>
  </si>
  <si>
    <t>Q2TC250332</t>
  </si>
  <si>
    <t>License TESS AML Full Suite</t>
  </si>
  <si>
    <t>Bank IBK Indonesia</t>
  </si>
  <si>
    <t>Professional Services Actimize</t>
  </si>
  <si>
    <t>Professional Service - Implementation TESS AML Full Suite</t>
  </si>
  <si>
    <t>Support Maintenance TESS AML Full Suite</t>
  </si>
  <si>
    <t>AML Screening Sumsub</t>
  </si>
  <si>
    <t>Identity Access Management</t>
  </si>
  <si>
    <t xml:space="preserve">Own Services for IBM Product </t>
  </si>
  <si>
    <t>Identity Access Management Implementation</t>
  </si>
  <si>
    <t>Privilege Access Management</t>
  </si>
  <si>
    <t>PAM</t>
  </si>
  <si>
    <t xml:space="preserve"> Local Support Krontech Product</t>
  </si>
  <si>
    <t>PM CM</t>
  </si>
  <si>
    <t xml:space="preserve">Pentest </t>
  </si>
  <si>
    <t xml:space="preserve">Pentest Web </t>
  </si>
  <si>
    <t>Audit IT Duwit</t>
  </si>
  <si>
    <t>License SCM Solarwind</t>
  </si>
  <si>
    <t>Solarwind</t>
  </si>
  <si>
    <t>Nessus Pro</t>
  </si>
  <si>
    <t>Tenable</t>
  </si>
  <si>
    <t>ATS Retail Banking</t>
  </si>
  <si>
    <t>Own Services for Helpsystems Product</t>
  </si>
  <si>
    <t>Global Certification</t>
  </si>
  <si>
    <t>Sertifikasi ISO 27001</t>
  </si>
  <si>
    <t>Pendampingan Konsultan ISO 27001</t>
  </si>
  <si>
    <t>Garuda Project</t>
  </si>
  <si>
    <t>Pentest WebApps</t>
  </si>
  <si>
    <t>Audit IT Aplikasi Doomo</t>
  </si>
  <si>
    <t>Consulting</t>
  </si>
  <si>
    <t>Patch Management Services</t>
  </si>
  <si>
    <t xml:space="preserve">Add On Modul </t>
  </si>
  <si>
    <t>Pentest Bulk Mandays</t>
  </si>
  <si>
    <t>Pengadaan Jasa Konsultan Penguatan Tata Kelola Keamanan Siber Berbasis Regulasi dan Standar Internasional</t>
  </si>
  <si>
    <t>Software Data Loss Prevention (DLP), Data Security Posture Management (DSPM) Forcepoint</t>
  </si>
  <si>
    <t>Professional Services Centagate</t>
  </si>
  <si>
    <t>Professional Services</t>
  </si>
  <si>
    <t>Audit Surveillance - 1</t>
  </si>
  <si>
    <t>Pendampingan Konsultan Audit Surveillance-1</t>
  </si>
  <si>
    <t>Maintenance CyberArk Product</t>
  </si>
  <si>
    <t>Local Support PAM CyberArk</t>
  </si>
  <si>
    <t>Tenable One</t>
  </si>
  <si>
    <t>Local Support Actimize</t>
  </si>
  <si>
    <t>ATSats license</t>
  </si>
  <si>
    <t>Local support maintenance</t>
  </si>
  <si>
    <t>ats license</t>
  </si>
  <si>
    <t>Own Services Maintenance Fortify Product</t>
  </si>
  <si>
    <t>Local support Maintenance</t>
  </si>
  <si>
    <t>Remediation service</t>
  </si>
  <si>
    <t xml:space="preserve">Server Vault </t>
  </si>
  <si>
    <t>Pengadaan Server On Premise</t>
  </si>
  <si>
    <t>Identity and Access Management</t>
  </si>
  <si>
    <t>Access Review Falaina</t>
  </si>
  <si>
    <t>Own Services for Forcepoint Product</t>
  </si>
  <si>
    <t xml:space="preserve">Implementasi </t>
  </si>
  <si>
    <t>PS Actimize</t>
  </si>
  <si>
    <t>Emudhra CLM</t>
  </si>
  <si>
    <t>License Fortra Product</t>
  </si>
  <si>
    <t>DAST</t>
  </si>
  <si>
    <t>ID Verification Dukcapil Fazpass</t>
  </si>
  <si>
    <t>Retest VAPT 2 WebApps</t>
  </si>
  <si>
    <t>Transaction Monitoring</t>
  </si>
  <si>
    <t xml:space="preserve">SAST </t>
  </si>
  <si>
    <t>Fortify SAST</t>
  </si>
  <si>
    <t>Pentest Service</t>
  </si>
  <si>
    <t>local support maintenance</t>
  </si>
  <si>
    <t>renewal license</t>
  </si>
  <si>
    <t>Renewal License</t>
  </si>
  <si>
    <t>Local Support Maintance</t>
  </si>
  <si>
    <t>Local Support Maintenance</t>
  </si>
  <si>
    <t>License IFMX Non Retaill</t>
  </si>
  <si>
    <t>CR ETL BigData Enhancement (Impala to Hive)</t>
  </si>
  <si>
    <t>Bigfix Patch Management</t>
  </si>
  <si>
    <t>Threat Intelligence Cyfirma</t>
  </si>
  <si>
    <t>Threat Intel Cyfirma</t>
  </si>
  <si>
    <t>Local Maintenance Support for Corporate Banking</t>
  </si>
  <si>
    <t>License HCL BigFix Compliance</t>
  </si>
  <si>
    <t>Implementation HCL BigFix Compliance</t>
  </si>
  <si>
    <t>Local Support HCL BigFix Compliance</t>
  </si>
  <si>
    <t>License CipherTrust Thales</t>
  </si>
  <si>
    <t>Implementation CipherTrust Thales</t>
  </si>
  <si>
    <t>Local Support CiphertTrust Thales</t>
  </si>
  <si>
    <t>Enhancement SR MX 2026</t>
  </si>
  <si>
    <t>PIM</t>
  </si>
  <si>
    <t>Additional Mandays Actimize untuk support</t>
  </si>
  <si>
    <t>Outsource Resources</t>
  </si>
  <si>
    <t>Trust Decision Fraud Management</t>
  </si>
  <si>
    <t>Renewal Actimize Watch</t>
  </si>
  <si>
    <t>Actimize Professional Service</t>
  </si>
  <si>
    <t>Q2 Professional Service</t>
  </si>
  <si>
    <t>Fraud Detection Solution</t>
  </si>
  <si>
    <t>Renewal License Forcepoint Proxy 2026-2027</t>
  </si>
  <si>
    <t>License Sophos Product</t>
  </si>
  <si>
    <t>Hardware Firewall Sangfor</t>
  </si>
  <si>
    <t>License Firewall Sangfor</t>
  </si>
  <si>
    <t>Implementation Sophos Product</t>
  </si>
  <si>
    <t>Implementasi Firewall Sangfor</t>
  </si>
  <si>
    <t>Support Firewall Sangfor</t>
  </si>
  <si>
    <t>Implementation Tenable Product</t>
  </si>
  <si>
    <t>Implementasi dari Synnex Metrodata</t>
  </si>
  <si>
    <t>Pentest Annual Bank Mega</t>
  </si>
  <si>
    <t>Q2TC260093</t>
  </si>
  <si>
    <t>PT Artajasa Pembayaran Elektronik</t>
  </si>
  <si>
    <t>TNM Actimize</t>
  </si>
  <si>
    <t>3SV Red Limit</t>
  </si>
  <si>
    <t>CR Unhold Transaction</t>
  </si>
  <si>
    <t>Resertifikasi ISO 27001</t>
  </si>
  <si>
    <t>License 5 Years</t>
  </si>
  <si>
    <t>ACC TYPE</t>
  </si>
  <si>
    <t>Key Account</t>
  </si>
  <si>
    <t>New Account</t>
  </si>
  <si>
    <t>Grow Account</t>
  </si>
  <si>
    <t>MONTH</t>
  </si>
  <si>
    <t>ACCOUNT</t>
  </si>
  <si>
    <t>SOLUTION</t>
  </si>
  <si>
    <t>CATEGORY</t>
  </si>
  <si>
    <t>UPDATE</t>
  </si>
  <si>
    <t>January</t>
  </si>
  <si>
    <t>SIEM &amp; SOC</t>
  </si>
  <si>
    <t>Cross Selling</t>
  </si>
  <si>
    <t>Sedang set jadwal untuk sharing session</t>
  </si>
  <si>
    <t xml:space="preserve">BKI </t>
  </si>
  <si>
    <t>Sudah melakukan buka bersama, akan diset waktu</t>
  </si>
  <si>
    <t>Fraud (Device Intelligence Trust Decision)</t>
  </si>
  <si>
    <t>Sudah meetup dengan PIC Fraud, akan set sesi untuk product update, menunggu jadwal dari team BOII, sepertinya setelah lebaran</t>
  </si>
  <si>
    <t>Aladin</t>
  </si>
  <si>
    <t>Threat Intelligence Phishlab</t>
  </si>
  <si>
    <t>Sedang tunggu jadwal dari bank Aladin untuk presentasi PhishLab</t>
  </si>
  <si>
    <t>CTBC</t>
  </si>
  <si>
    <t>Fraud System</t>
  </si>
  <si>
    <t>Sedang di schedule kan untuk presentasi and demo next week</t>
  </si>
  <si>
    <t>BRI</t>
  </si>
  <si>
    <t>AML</t>
  </si>
  <si>
    <t>Sudah presentasi dan Demo, next akan ada sesi diskusi penyusunan TOR dengan BRI</t>
  </si>
  <si>
    <t>Akasanet</t>
  </si>
  <si>
    <t>Liveness and Deepfake KYC</t>
  </si>
  <si>
    <t>Sudah presentasi dan diskusi namun solusi Asli RI yang dibawa terlalu mahal untuk Akasanet, Akasanet akan share estimasi cost saat ini ke Q2</t>
  </si>
  <si>
    <t>February</t>
  </si>
  <si>
    <t>DLP</t>
  </si>
  <si>
    <t>Saat ini sedang fokus untuk menjalankan project Pentest, DLP ini akan mulai propose sesi presentasi setelah lebaran</t>
  </si>
  <si>
    <t>INA</t>
  </si>
  <si>
    <t>Akan di validate di next meeting, masih menunggu jadwal untuk meeting</t>
  </si>
  <si>
    <t>BAF</t>
  </si>
  <si>
    <t>SenhaSegura PAM</t>
  </si>
  <si>
    <t>Akan di validate di next meeting, masih menunggu jadwal untuk presentasi dari BAF masih sibuk ada audit</t>
  </si>
  <si>
    <t>Follow up pandu</t>
  </si>
  <si>
    <t>ORIX</t>
  </si>
  <si>
    <t>ISO</t>
  </si>
  <si>
    <t>Sudah meetup dengan ORIX, akan jalan setelah Pentest</t>
  </si>
  <si>
    <t>Huyula</t>
  </si>
  <si>
    <t>Fraud</t>
  </si>
  <si>
    <t>Sudah introduction dan overview Sumsub, akan di validate lebih dalam</t>
  </si>
  <si>
    <t>Dharma Polimetal</t>
  </si>
  <si>
    <t xml:space="preserve">Sudah visit dan presentasi, sedang pengisian sizing questionnaire, masih di follow up </t>
  </si>
  <si>
    <t>BCAD</t>
  </si>
  <si>
    <t>Leads terkait patch management services, sudah submit proposal teknis dan penawaran harga, akan di follow up setelah lebaran</t>
  </si>
  <si>
    <t>Victoria</t>
  </si>
  <si>
    <t>Penetration Testing</t>
  </si>
  <si>
    <t>Retention</t>
  </si>
  <si>
    <t>Ada kebutuhan pentest, requirement dan timeline akan di validate setelah requirement gathering</t>
  </si>
  <si>
    <t>Bukopin</t>
  </si>
  <si>
    <t>ITSA (Pentest)</t>
  </si>
  <si>
    <t>Leads untuk pentest dapat kita ambil kembali di tahun ini, akan follow up closely</t>
  </si>
  <si>
    <t>HCL Patch Management</t>
  </si>
  <si>
    <t>Sudah presentasi, akan di set untuk POC</t>
  </si>
  <si>
    <t>ISO Surveillance</t>
  </si>
  <si>
    <t>Leads, akan di validate di next session</t>
  </si>
  <si>
    <t>Artajasa</t>
  </si>
  <si>
    <t>Elastic SIEM</t>
  </si>
  <si>
    <t>Leads, akan set jadwal presentasi</t>
  </si>
  <si>
    <t>Exim Bank</t>
  </si>
  <si>
    <t>Leads, akan jalan tender</t>
  </si>
  <si>
    <t>Leads, sudah sync dengan Hilda, akan diskusi dengan Exim</t>
  </si>
  <si>
    <t>BPJS Kesehatan</t>
  </si>
  <si>
    <t>Mobile App Sec</t>
  </si>
  <si>
    <t>Leads, Sedang set waktu untuk presentasi</t>
  </si>
  <si>
    <t>Sudah di follow up, pengadaan jalan di April</t>
  </si>
  <si>
    <t>Danamon</t>
  </si>
  <si>
    <t>CRs Actimize</t>
  </si>
  <si>
    <t>Leads, akan di validate setelah requirement gathering</t>
  </si>
  <si>
    <t>BOII</t>
  </si>
  <si>
    <t>Leads, akan di set waktu untuk presentasi</t>
  </si>
  <si>
    <t>March</t>
  </si>
  <si>
    <t>Asuransi Etiqa</t>
  </si>
  <si>
    <t>Dowjones</t>
  </si>
  <si>
    <t>Sudah di validate, Dowjones terlalu mahal buat Etiqa, appetite mereka adalah lokal</t>
  </si>
  <si>
    <t>Asuransi Maximus</t>
  </si>
  <si>
    <t>New Leads, sudah call, akan di set waktu presentasi</t>
  </si>
  <si>
    <t>BRI Global Financial</t>
  </si>
  <si>
    <t>New Leads, Sedang set waktu presentasi DAS</t>
  </si>
  <si>
    <t>Ganesha</t>
  </si>
  <si>
    <t>Axonious</t>
  </si>
  <si>
    <t>New Leads, akan presentasi next week</t>
  </si>
  <si>
    <t>Threat Intel</t>
  </si>
  <si>
    <t>New Leads, untuk tahun depan, budgeting bulan juni</t>
  </si>
  <si>
    <t>IAM</t>
  </si>
  <si>
    <t>New Leads, mencari solusi selain Sailpoint, coba di drill down lebih detail, mungkin leads ini yang lebih visible karena kita sudah ada pengalaman</t>
  </si>
  <si>
    <t>April</t>
  </si>
  <si>
    <t>Ciputra life</t>
  </si>
  <si>
    <t>SAST</t>
  </si>
  <si>
    <t>New leads dari event Semgrep, akan di follow up karena minta sesi lanjutan</t>
  </si>
  <si>
    <t>Sangfor</t>
  </si>
  <si>
    <t>New leads dari Sangfor, sedang set waktu untuk visit akan di validate</t>
  </si>
  <si>
    <t>SMT ACTIVITY MARCH W3</t>
  </si>
  <si>
    <t>Mayapada</t>
  </si>
  <si>
    <t>visit ke Mayapada untuk project ISO, handling complaint dari mayapada karena telat 2 kali</t>
  </si>
  <si>
    <t>Diskusi terkait dengan renewal dan submission untuk harga dengan 2 skema</t>
  </si>
  <si>
    <t>Mirae Asset</t>
  </si>
  <si>
    <t>Audit &amp; Pentest</t>
  </si>
  <si>
    <t>Follow up terkait dengan prospect, namun respon dari customer very slow</t>
  </si>
  <si>
    <t>Tokocypto</t>
  </si>
  <si>
    <t>FRAML</t>
  </si>
  <si>
    <t>follow up leads, namun sudah menggunakan solusi sumsub</t>
  </si>
  <si>
    <t>Muamalat</t>
  </si>
  <si>
    <t>Courtesy visit</t>
  </si>
  <si>
    <t>Visit ke Muamalat untuk courtesy</t>
  </si>
  <si>
    <t>Sinarmas</t>
  </si>
  <si>
    <t>ORM</t>
  </si>
  <si>
    <t>Meeting dengan sinarmas, Delloite dan Virtus, sepertinya susah untuk kita lanjut ke tahap tender. Karena tidak mendapatkan support dari virtus dan delloitte</t>
  </si>
  <si>
    <t>Bank Raya</t>
  </si>
  <si>
    <t>diskusi terkait dengan sisa mandays pentest, sedang set untuk courtesy dengan pak Danar</t>
  </si>
  <si>
    <t>New Leads, Follow up dari event swift, akan di validate</t>
  </si>
  <si>
    <t>follow up progress pengadaan, masih dalam antrian</t>
  </si>
  <si>
    <t>New Leads, coba follow up ke PIC untuk present Soktratech</t>
  </si>
  <si>
    <t>Visit BOII untuk pembahasan TOR/BOQ</t>
  </si>
  <si>
    <t xml:space="preserve">FU Leads Sharing session dengan Beyond Trust </t>
  </si>
  <si>
    <t>Diskusi terkait dengan penyusunan TOR</t>
  </si>
  <si>
    <t>CIMB Niaga</t>
  </si>
  <si>
    <t>CB</t>
  </si>
  <si>
    <t>follow up payment ke cimb niaga</t>
  </si>
  <si>
    <t>HCL</t>
  </si>
  <si>
    <t xml:space="preserve">Meetup dengan pak Yongki untuk follow up renewal dan </t>
  </si>
  <si>
    <t>IFMX</t>
  </si>
  <si>
    <t>Monthly meeting untuk retail, CB dan upgrade</t>
  </si>
  <si>
    <t>New Leads CR untuk CB</t>
  </si>
  <si>
    <t>Explore</t>
  </si>
  <si>
    <t>Coba explore terkati dengan PAM</t>
  </si>
  <si>
    <t>Askrindo</t>
  </si>
  <si>
    <t>Introduction</t>
  </si>
  <si>
    <t>Meetup dan kenalan</t>
  </si>
  <si>
    <t>Doku</t>
  </si>
  <si>
    <t>Semgrep/Fortify</t>
  </si>
  <si>
    <t>Mereka dateng ke event, sementara kita masih bawa fortify terlebih dahulu</t>
  </si>
  <si>
    <t>New Leads, next week set present untuk DAS Security</t>
  </si>
  <si>
    <t>New Leads</t>
  </si>
  <si>
    <t>Data Protection</t>
  </si>
  <si>
    <t>Bank Resona</t>
  </si>
  <si>
    <t>Threat Intell</t>
  </si>
  <si>
    <t>sedang diset untuk presentasi</t>
  </si>
  <si>
    <t>KB Bukopin</t>
  </si>
  <si>
    <t>Renewal proxy</t>
  </si>
  <si>
    <t>Sudah diskusi terkait dengan renewal ke pak Roni dan Pak Manik, akan kita bantu</t>
  </si>
  <si>
    <t>Maximus</t>
  </si>
  <si>
    <t>Diskusi terkait dengan Dowjones, kebutuhannya harus menggunakan webbased (On Demand), minggu depan Demo</t>
  </si>
  <si>
    <t xml:space="preserve">BNI </t>
  </si>
  <si>
    <t>Renewal AML</t>
  </si>
  <si>
    <t>Meetup dan follow up untuk proses BAST dan pengambilan data untuk PM</t>
  </si>
  <si>
    <t>Jtrust</t>
  </si>
  <si>
    <t>Superbank</t>
  </si>
  <si>
    <t>Appsec</t>
  </si>
  <si>
    <t>Duwit</t>
  </si>
  <si>
    <t>Follow up terkait dengan pentest, masih bisa jalan kira kira di Mei</t>
  </si>
  <si>
    <t>YUPFinance</t>
  </si>
  <si>
    <t>IPGuard</t>
  </si>
  <si>
    <t>New Leads, akan di set presentasi dan diskusi untuk IPGuard</t>
  </si>
  <si>
    <t>Mega</t>
  </si>
  <si>
    <t>Ketemu dengan El, Desember akan di terminate</t>
  </si>
  <si>
    <t>DRM</t>
  </si>
  <si>
    <t>MTI</t>
  </si>
  <si>
    <t>SAST fortify</t>
  </si>
  <si>
    <t>Submission untuk budgeting ke Gusti</t>
  </si>
  <si>
    <t>SOAR</t>
  </si>
  <si>
    <t>Meetup dengan El dan sudah diskusi dan akan set terkait dengan SOAR dan CLM</t>
  </si>
  <si>
    <t>CLM</t>
  </si>
  <si>
    <t>BACKLOG YTE</t>
  </si>
  <si>
    <t>PROSPECT YTE</t>
  </si>
  <si>
    <t>Jan W1</t>
  </si>
  <si>
    <t>Jan W4</t>
  </si>
  <si>
    <t>Feb W1</t>
  </si>
  <si>
    <t>Feb W2</t>
  </si>
  <si>
    <t>Feb W3</t>
  </si>
  <si>
    <t>Feb W4</t>
  </si>
  <si>
    <t>Mar W1</t>
  </si>
  <si>
    <t>Mar W2</t>
  </si>
  <si>
    <t>Mar W4</t>
  </si>
  <si>
    <t>Apr W1</t>
  </si>
  <si>
    <t>Apr W2</t>
  </si>
  <si>
    <t>Apr W3</t>
  </si>
  <si>
    <t>BACKLOG H1</t>
  </si>
  <si>
    <t>H1 Target​</t>
  </si>
  <si>
    <t>Recog Backlog ​</t>
  </si>
  <si>
    <t>Additional Prospect​</t>
  </si>
  <si>
    <t>MYR</t>
  </si>
  <si>
    <t>IDR</t>
  </si>
  <si>
    <t>Amor​tization</t>
  </si>
  <si>
    <t>Motor Insurance</t>
  </si>
  <si>
    <t xml:space="preserve">TOTAL </t>
  </si>
  <si>
    <t>MCCA for Octo</t>
  </si>
  <si>
    <t>GAP​</t>
  </si>
  <si>
    <t>No.</t>
  </si>
  <si>
    <t>Account</t>
  </si>
  <si>
    <t>Product</t>
  </si>
  <si>
    <t>Category</t>
  </si>
  <si>
    <t>Revenue</t>
  </si>
  <si>
    <t>Closing Month</t>
  </si>
  <si>
    <t>Remarks</t>
  </si>
  <si>
    <t>License Nessus Pro</t>
  </si>
  <si>
    <t>Listed in App</t>
  </si>
  <si>
    <t>Audit IT</t>
  </si>
  <si>
    <t>Local Support BWCCS</t>
  </si>
  <si>
    <t>Renewal</t>
  </si>
  <si>
    <t>CIMB Malaysia</t>
  </si>
  <si>
    <t>CR MCCA for Octo</t>
  </si>
  <si>
    <t>CR Update Email Address VIA Octo</t>
  </si>
  <si>
    <t>TruCarbon</t>
  </si>
  <si>
    <t>ISO 27001</t>
  </si>
  <si>
    <t>Maybank</t>
  </si>
  <si>
    <t>Renewal Microfocus</t>
  </si>
  <si>
    <t>Nusa Satu Inti Artha</t>
  </si>
  <si>
    <t>Renewal License Burp Suite</t>
  </si>
  <si>
    <t>Penetration Testing Adhoc</t>
  </si>
  <si>
    <t>SAST Semgrep</t>
  </si>
  <si>
    <t>Renewal MS Project IT</t>
  </si>
  <si>
    <t xml:space="preserve">KDDI </t>
  </si>
  <si>
    <t>VAPT</t>
  </si>
  <si>
    <t>Bank Mayapada</t>
  </si>
  <si>
    <t>Resertification ISO 27001</t>
  </si>
  <si>
    <t>Nano Bank</t>
  </si>
  <si>
    <t>Penetration Testing Annual</t>
  </si>
  <si>
    <t>Upselling</t>
  </si>
  <si>
    <t>CIMB MY</t>
  </si>
  <si>
    <t>CR Travel Insurance</t>
  </si>
  <si>
    <t>SMBC</t>
  </si>
  <si>
    <t>Pentest Jenius Premium Voucher</t>
  </si>
  <si>
    <t>Mcash</t>
  </si>
  <si>
    <t>Orix</t>
  </si>
  <si>
    <t>Renewal Corporate Banking</t>
  </si>
  <si>
    <t>Renewal Nessus</t>
  </si>
  <si>
    <t>BJB</t>
  </si>
  <si>
    <t>GoWap</t>
  </si>
  <si>
    <t>Onprogress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</si>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</sst>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Border="0"/>
    <xf numFmtId="43" fontId="1" fillId="0" borderId="0" applyFon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43" fontId="0" fillId="0" borderId="0" xfId="1" applyFont="1"/>
    <xf numFmtId="43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3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3" fillId="0" borderId="0" xfId="0" applyFont="1" applyAlignment="1">
      <alignment horizontal="center" vertical="center"/>
    </xf>
    <xf numFmtId="43" fontId="0" fillId="0" borderId="0" xfId="0" applyNumberFormat="1"/>
    <xf numFmtId="0" fontId="3" fillId="2" borderId="5" xfId="0" applyFont="1" applyFill="1" applyBorder="1" applyAlignment="1">
      <alignment horizontal="center" vertical="center"/>
    </xf>
    <xf numFmtId="43" fontId="3" fillId="2" borderId="5" xfId="0" applyNumberFormat="1" applyFont="1" applyFill="1" applyBorder="1" applyAlignment="1">
      <alignment horizontal="center" vertical="center"/>
    </xf>
    <xf numFmtId="0" fontId="0" fillId="5" borderId="4" xfId="0" applyFill="1" applyBorder="1"/>
    <xf numFmtId="43" fontId="0" fillId="5" borderId="4" xfId="0" applyNumberFormat="1" applyFill="1" applyBorder="1"/>
    <xf numFmtId="0" fontId="0" fillId="5" borderId="1" xfId="0" applyFill="1" applyBorder="1"/>
    <xf numFmtId="43" fontId="0" fillId="5" borderId="1" xfId="0" applyNumberFormat="1" applyFill="1" applyBorder="1"/>
    <xf numFmtId="0" fontId="0" fillId="5" borderId="5" xfId="0" applyFill="1" applyBorder="1"/>
    <xf numFmtId="43" fontId="0" fillId="5" borderId="5" xfId="1" applyFont="1" applyFill="1" applyBorder="1"/>
    <xf numFmtId="9" fontId="0" fillId="0" borderId="0" xfId="0" applyNumberFormat="1"/>
    <xf numFmtId="0" fontId="3" fillId="6" borderId="4" xfId="0" applyFont="1" applyFill="1" applyBorder="1"/>
    <xf numFmtId="43" fontId="3" fillId="6" borderId="4" xfId="0" applyNumberFormat="1" applyFont="1" applyFill="1" applyBorder="1"/>
    <xf numFmtId="0" fontId="4" fillId="6" borderId="1" xfId="0" applyFont="1" applyFill="1" applyBorder="1"/>
    <xf numFmtId="43" fontId="4" fillId="6" borderId="1" xfId="0" applyNumberFormat="1" applyFon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43" fontId="2" fillId="7" borderId="1" xfId="1" applyFont="1" applyFill="1" applyBorder="1"/>
    <xf numFmtId="43" fontId="0" fillId="7" borderId="1" xfId="1" applyFont="1" applyFill="1" applyBorder="1" applyAlignment="1">
      <alignment horizontal="center"/>
    </xf>
    <xf numFmtId="43" fontId="0" fillId="7" borderId="1" xfId="1" applyFont="1" applyFill="1" applyBorder="1"/>
    <xf numFmtId="43" fontId="0" fillId="7" borderId="1" xfId="0" applyNumberFormat="1" applyFill="1" applyBorder="1"/>
    <xf numFmtId="0" fontId="3" fillId="7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43" fontId="3" fillId="7" borderId="4" xfId="1" applyFont="1" applyFill="1" applyBorder="1"/>
    <xf numFmtId="0" fontId="0" fillId="7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Backlog</a:t>
            </a:r>
            <a:r>
              <a:rPr lang="en-ID" b="1" baseline="0"/>
              <a:t> &amp; Prospect YTE (GP APP)</a:t>
            </a:r>
            <a:endParaRPr lang="en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Graph!$C$2</c:f>
              <c:strCache>
                <c:ptCount val="1"/>
                <c:pt idx="0">
                  <c:v>BACKLOG YTE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Graph!$B$3:$B$13</c:f>
              <c:strCache>
                <c:ptCount val="11"/>
                <c:pt idx="0">
                  <c:v>Jan W1</c:v>
                </c:pt>
                <c:pt idx="1">
                  <c:v>Jan W4</c:v>
                </c:pt>
                <c:pt idx="2">
                  <c:v>Feb W1</c:v>
                </c:pt>
                <c:pt idx="3">
                  <c:v>Feb W2</c:v>
                </c:pt>
                <c:pt idx="4">
                  <c:v>Feb W3</c:v>
                </c:pt>
                <c:pt idx="5">
                  <c:v>Feb W4</c:v>
                </c:pt>
                <c:pt idx="6">
                  <c:v>Mar W1</c:v>
                </c:pt>
                <c:pt idx="7">
                  <c:v>Mar W2</c:v>
                </c:pt>
                <c:pt idx="8">
                  <c:v>Mar W4</c:v>
                </c:pt>
                <c:pt idx="9">
                  <c:v>Apr W1</c:v>
                </c:pt>
                <c:pt idx="10">
                  <c:v>Apr W2</c:v>
                </c:pt>
              </c:strCache>
            </c:strRef>
          </c:cat>
          <c:val>
            <c:numRef>
              <c:f>Graph!$C$3:$C$13</c:f>
              <c:numCache>
                <c:formatCode>_(* #,##0.00_);_(* \(#,##0.00\);_(* "-"??_);_(@_)</c:formatCode>
                <c:ptCount val="11"/>
                <c:pt idx="0">
                  <c:v>8800658276.1236</c:v>
                </c:pt>
                <c:pt idx="1">
                  <c:v>9599963376.037632</c:v>
                </c:pt>
                <c:pt idx="2">
                  <c:v>9681944630.0410995</c:v>
                </c:pt>
                <c:pt idx="3">
                  <c:v>9811283568.1993999</c:v>
                </c:pt>
                <c:pt idx="4">
                  <c:v>10747485786.264799</c:v>
                </c:pt>
                <c:pt idx="5">
                  <c:v>10771694045.9648</c:v>
                </c:pt>
                <c:pt idx="6">
                  <c:v>10642677829.9827</c:v>
                </c:pt>
                <c:pt idx="7">
                  <c:v>11045975109.602692</c:v>
                </c:pt>
                <c:pt idx="8">
                  <c:v>11572688027.332125</c:v>
                </c:pt>
                <c:pt idx="9">
                  <c:v>11972694267.408318</c:v>
                </c:pt>
                <c:pt idx="10">
                  <c:v>11968187267.408319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5-44D8-A966-DE7252939436}"/>
            </c:ext>
          </c:extLst>
        </c:ser>
        <c:ser>
          <c:idx val="1"/>
          <c:order val="1"/>
          <c:tx>
            <c:strRef>
              <c:f>Graph!$D$2</c:f>
              <c:strCache>
                <c:ptCount val="1"/>
                <c:pt idx="0">
                  <c:v>PROSPECT YTE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Graph!$B$3:$B$13</c:f>
              <c:strCache>
                <c:ptCount val="11"/>
                <c:pt idx="0">
                  <c:v>Jan W1</c:v>
                </c:pt>
                <c:pt idx="1">
                  <c:v>Jan W4</c:v>
                </c:pt>
                <c:pt idx="2">
                  <c:v>Feb W1</c:v>
                </c:pt>
                <c:pt idx="3">
                  <c:v>Feb W2</c:v>
                </c:pt>
                <c:pt idx="4">
                  <c:v>Feb W3</c:v>
                </c:pt>
                <c:pt idx="5">
                  <c:v>Feb W4</c:v>
                </c:pt>
                <c:pt idx="6">
                  <c:v>Mar W1</c:v>
                </c:pt>
                <c:pt idx="7">
                  <c:v>Mar W2</c:v>
                </c:pt>
                <c:pt idx="8">
                  <c:v>Mar W4</c:v>
                </c:pt>
                <c:pt idx="9">
                  <c:v>Apr W1</c:v>
                </c:pt>
                <c:pt idx="10">
                  <c:v>Apr W2</c:v>
                </c:pt>
              </c:strCache>
            </c:strRef>
          </c:cat>
          <c:val>
            <c:numRef>
              <c:f>Graph!$D$3:$D$13</c:f>
              <c:numCache>
                <c:formatCode>_(* #,##0.00_);_(* \(#,##0.00\);_(* "-"??_);_(@_)</c:formatCode>
                <c:ptCount val="11"/>
                <c:pt idx="0">
                  <c:v>14483868973.599998</c:v>
                </c:pt>
                <c:pt idx="1">
                  <c:v>15768551589</c:v>
                </c:pt>
                <c:pt idx="2">
                  <c:v>15615545441.5</c:v>
                </c:pt>
                <c:pt idx="3">
                  <c:v>16273581606.5</c:v>
                </c:pt>
                <c:pt idx="4">
                  <c:v>15581595351.5</c:v>
                </c:pt>
                <c:pt idx="5">
                  <c:v>15822317567.5</c:v>
                </c:pt>
                <c:pt idx="6">
                  <c:v>16046532058.15</c:v>
                </c:pt>
                <c:pt idx="7">
                  <c:v>16383146423.819998</c:v>
                </c:pt>
                <c:pt idx="8">
                  <c:v>15664017454.819998</c:v>
                </c:pt>
                <c:pt idx="9">
                  <c:v>16970210676.819998</c:v>
                </c:pt>
                <c:pt idx="10">
                  <c:v>16276153076.819998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5-44D8-A966-DE7252939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061455"/>
        <c:axId val="238070575"/>
        <c:axId val="233509583"/>
      </c:area3DChart>
      <c:catAx>
        <c:axId val="23806145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70575"/>
        <c:crosses val="autoZero"/>
        <c:auto val="1"/>
        <c:lblAlgn val="ctr"/>
        <c:lblOffset val="100"/>
        <c:noMultiLvlLbl val="0"/>
      </c:catAx>
      <c:valAx>
        <c:axId val="23807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61455"/>
        <c:crosses val="autoZero"/>
        <c:crossBetween val="midCat"/>
      </c:valAx>
      <c:serAx>
        <c:axId val="233509583"/>
        <c:scaling>
          <c:orientation val="minMax"/>
        </c:scaling>
        <c:delete val="1"/>
        <c:axPos val="b"/>
        <c:majorTickMark val="none"/>
        <c:minorTickMark val="none"/>
        <c:tickLblPos val="nextTo"/>
        <c:crossAx val="238070575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BACKLOG H1 (GP APP)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Graph!$C$28</c:f>
              <c:strCache>
                <c:ptCount val="1"/>
                <c:pt idx="0">
                  <c:v>BACKLOG 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Graph!$B$29:$B$39</c:f>
              <c:strCache>
                <c:ptCount val="11"/>
                <c:pt idx="0">
                  <c:v>Jan W1</c:v>
                </c:pt>
                <c:pt idx="1">
                  <c:v>Jan W4</c:v>
                </c:pt>
                <c:pt idx="2">
                  <c:v>Feb W1</c:v>
                </c:pt>
                <c:pt idx="3">
                  <c:v>Feb W2</c:v>
                </c:pt>
                <c:pt idx="4">
                  <c:v>Feb W3</c:v>
                </c:pt>
                <c:pt idx="5">
                  <c:v>Feb W4</c:v>
                </c:pt>
                <c:pt idx="6">
                  <c:v>Mar W1</c:v>
                </c:pt>
                <c:pt idx="7">
                  <c:v>Mar W2</c:v>
                </c:pt>
                <c:pt idx="8">
                  <c:v>Mar W4</c:v>
                </c:pt>
                <c:pt idx="9">
                  <c:v>Apr W1</c:v>
                </c:pt>
                <c:pt idx="10">
                  <c:v>Apr W2</c:v>
                </c:pt>
              </c:strCache>
            </c:strRef>
          </c:cat>
          <c:val>
            <c:numRef>
              <c:f>Graph!$C$29:$C$39</c:f>
              <c:numCache>
                <c:formatCode>_(* #,##0.00_);_(* \(#,##0.00\);_(* "-"??_);_(@_)</c:formatCode>
                <c:ptCount val="11"/>
                <c:pt idx="0">
                  <c:v>5282040175.6294527</c:v>
                </c:pt>
                <c:pt idx="1">
                  <c:v>5461393779.2399607</c:v>
                </c:pt>
                <c:pt idx="2">
                  <c:v>6038598185.5899496</c:v>
                </c:pt>
                <c:pt idx="3">
                  <c:v>6179174623.7482595</c:v>
                </c:pt>
                <c:pt idx="4">
                  <c:v>6436171277.9245005</c:v>
                </c:pt>
                <c:pt idx="5">
                  <c:v>6471179414.7438602</c:v>
                </c:pt>
                <c:pt idx="6">
                  <c:v>6776032321.6423664</c:v>
                </c:pt>
                <c:pt idx="7">
                  <c:v>6962496720.0623579</c:v>
                </c:pt>
                <c:pt idx="8">
                  <c:v>7459330420.79179</c:v>
                </c:pt>
                <c:pt idx="9">
                  <c:v>7738542335.8679819</c:v>
                </c:pt>
                <c:pt idx="10">
                  <c:v>7695714455.86798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A-42AC-A643-786A56686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957407"/>
        <c:axId val="1212957887"/>
        <c:axId val="822759999"/>
      </c:area3DChart>
      <c:catAx>
        <c:axId val="12129574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57887"/>
        <c:crosses val="autoZero"/>
        <c:auto val="1"/>
        <c:lblAlgn val="ctr"/>
        <c:lblOffset val="100"/>
        <c:noMultiLvlLbl val="0"/>
      </c:catAx>
      <c:valAx>
        <c:axId val="121295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57407"/>
        <c:crosses val="autoZero"/>
        <c:crossBetween val="midCat"/>
      </c:valAx>
      <c:serAx>
        <c:axId val="8227599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212957887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626267</xdr:colOff>
      <xdr:row>0</xdr:row>
      <xdr:rowOff>180974</xdr:rowOff>
    </xdr:from>
    <xdr:to>
      <xdr:col>13</xdr:col>
      <xdr:colOff>123824</xdr:colOff>
      <xdr:row>22</xdr:row>
      <xdr:rowOff>23811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1C057-E4C7-4998-93FA-8540738ED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616741</xdr:colOff>
      <xdr:row>23</xdr:row>
      <xdr:rowOff>114299</xdr:rowOff>
    </xdr:from>
    <xdr:to>
      <xdr:col>13</xdr:col>
      <xdr:colOff>142874</xdr:colOff>
      <xdr:row>44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75C8A5-5055-4A82-B568-87ADFB6A8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61</xdr:row>
      <xdr:rowOff>0</xdr:rowOff>
    </xdr:from>
    <xdr:to>
      <xdr:col>3</xdr:col>
      <xdr:colOff>998411</xdr:colOff>
      <xdr:row>69</xdr:row>
      <xdr:rowOff>56094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6DA01B-1458-40D4-9DCE-A6BB203C0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11049000"/>
          <a:ext cx="3727324" cy="15038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682bf27e20e98d5/Documents/Q2%20Technologies/Activities%202026/WCM/Prospect/Report_Prospect_CL%20260417.xlsx" TargetMode="External"/><Relationship Id="rId1" Type="http://schemas.openxmlformats.org/officeDocument/2006/relationships/externalLinkPath" Target="Report_Prospect_CL%202604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spect"/>
      <sheetName val="Product"/>
      <sheetName val="Sales Activity"/>
      <sheetName val="Graph"/>
      <sheetName val="Prospect Closure"/>
    </sheetNames>
    <sheetDataSet>
      <sheetData sheetId="0"/>
      <sheetData sheetId="1"/>
      <sheetData sheetId="2"/>
      <sheetData sheetId="3">
        <row r="2">
          <cell r="C2" t="str">
            <v>BACKLOG YTE</v>
          </cell>
          <cell r="D2" t="str">
            <v>PROSPECT YTE</v>
          </cell>
        </row>
        <row r="3">
          <cell r="B3" t="str">
            <v>Jan W1</v>
          </cell>
          <cell r="C3">
            <v>8800658276.1236</v>
          </cell>
          <cell r="D3">
            <v>14483868973.599998</v>
          </cell>
        </row>
        <row r="4">
          <cell r="B4" t="str">
            <v>Jan W4</v>
          </cell>
          <cell r="C4">
            <v>9599963376.037632</v>
          </cell>
          <cell r="D4">
            <v>15768551589</v>
          </cell>
        </row>
        <row r="5">
          <cell r="B5" t="str">
            <v>Feb W1</v>
          </cell>
          <cell r="C5">
            <v>9681944630.0410995</v>
          </cell>
          <cell r="D5">
            <v>15615545441.5</v>
          </cell>
        </row>
        <row r="6">
          <cell r="B6" t="str">
            <v>Feb W2</v>
          </cell>
          <cell r="C6">
            <v>9811283568.1993999</v>
          </cell>
          <cell r="D6">
            <v>16273581606.5</v>
          </cell>
        </row>
        <row r="7">
          <cell r="B7" t="str">
            <v>Feb W3</v>
          </cell>
          <cell r="C7">
            <v>10747485786.264799</v>
          </cell>
          <cell r="D7">
            <v>15581595351.5</v>
          </cell>
        </row>
        <row r="8">
          <cell r="B8" t="str">
            <v>Feb W4</v>
          </cell>
          <cell r="C8">
            <v>10771694045.9648</v>
          </cell>
          <cell r="D8">
            <v>15822317567.5</v>
          </cell>
        </row>
        <row r="9">
          <cell r="B9" t="str">
            <v>Mar W1</v>
          </cell>
          <cell r="C9">
            <v>10642677829.9827</v>
          </cell>
          <cell r="D9">
            <v>16046532058.15</v>
          </cell>
        </row>
        <row r="10">
          <cell r="B10" t="str">
            <v>Mar W2</v>
          </cell>
          <cell r="C10">
            <v>11045975109.602692</v>
          </cell>
          <cell r="D10">
            <v>16383146423.819998</v>
          </cell>
        </row>
        <row r="11">
          <cell r="B11" t="str">
            <v>Mar W4</v>
          </cell>
          <cell r="C11">
            <v>11572688027.332125</v>
          </cell>
          <cell r="D11">
            <v>15664017454.819998</v>
          </cell>
        </row>
        <row r="12">
          <cell r="B12" t="str">
            <v>Apr W1</v>
          </cell>
          <cell r="C12">
            <v>11972694267.408318</v>
          </cell>
          <cell r="D12">
            <v>16970210676.819998</v>
          </cell>
        </row>
        <row r="13">
          <cell r="B13" t="str">
            <v>Apr W2</v>
          </cell>
          <cell r="C13">
            <v>11968187267.408319</v>
          </cell>
          <cell r="D13">
            <v>16276153076.819998</v>
          </cell>
        </row>
        <row r="28">
          <cell r="C28" t="str">
            <v>BACKLOG H1</v>
          </cell>
        </row>
        <row r="29">
          <cell r="B29" t="str">
            <v>Jan W1</v>
          </cell>
          <cell r="C29">
            <v>5282040175.6294527</v>
          </cell>
        </row>
        <row r="30">
          <cell r="B30" t="str">
            <v>Jan W4</v>
          </cell>
          <cell r="C30">
            <v>5461393779.2399607</v>
          </cell>
        </row>
        <row r="31">
          <cell r="B31" t="str">
            <v>Feb W1</v>
          </cell>
          <cell r="C31">
            <v>6038598185.5899496</v>
          </cell>
        </row>
        <row r="32">
          <cell r="B32" t="str">
            <v>Feb W2</v>
          </cell>
          <cell r="C32">
            <v>6179174623.7482595</v>
          </cell>
        </row>
        <row r="33">
          <cell r="B33" t="str">
            <v>Feb W3</v>
          </cell>
          <cell r="C33">
            <v>6436171277.9245005</v>
          </cell>
        </row>
        <row r="34">
          <cell r="B34" t="str">
            <v>Feb W4</v>
          </cell>
          <cell r="C34">
            <v>6471179414.7438602</v>
          </cell>
        </row>
        <row r="35">
          <cell r="B35" t="str">
            <v>Mar W1</v>
          </cell>
          <cell r="C35">
            <v>6776032321.6423664</v>
          </cell>
        </row>
        <row r="36">
          <cell r="B36" t="str">
            <v>Mar W2</v>
          </cell>
          <cell r="C36">
            <v>6962496720.0623579</v>
          </cell>
        </row>
        <row r="37">
          <cell r="B37" t="str">
            <v>Mar W4</v>
          </cell>
          <cell r="C37">
            <v>7459330420.79179</v>
          </cell>
        </row>
        <row r="38">
          <cell r="B38" t="str">
            <v>Apr W1</v>
          </cell>
          <cell r="C38">
            <v>7738542335.8679819</v>
          </cell>
        </row>
        <row r="39">
          <cell r="B39" t="str">
            <v>Apr W2</v>
          </cell>
          <cell r="C39">
            <v>7695714455.86798</v>
          </cell>
        </row>
      </sheetData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J439" totalsRowShown="0">
  <autoFilter ref="A1:AJ439" xr:uid="{00000000-0009-0000-0100-000001000000}">
    <filterColumn colId="1">
      <filters>
        <filter val="Pandu R Akbar"/>
      </filters>
    </filterColumn>
    <filterColumn colId="2">
      <filters>
        <filter val="PT Q2 Technologies"/>
      </filters>
    </filterColumn>
  </autoFilter>
  <tableColumns count="36">
    <tableColumn id="1" xr3:uid="{00000000-0010-0000-0000-000001000000}" name="ID_TOP_SALES"/>
    <tableColumn id="2" xr3:uid="{00000000-0010-0000-0000-000002000000}" name="AM_NAME"/>
    <tableColumn id="3" xr3:uid="{00000000-0010-0000-0000-000003000000}" name="COMPANY_NAME"/>
    <tableColumn id="4" xr3:uid="{00000000-0010-0000-0000-000004000000}" name="DIRECTORAT"/>
    <tableColumn id="5" xr3:uid="{00000000-0010-0000-0000-000005000000}" name="GROUP_NAME"/>
    <tableColumn id="6" xr3:uid="{00000000-0010-0000-0000-000006000000}" name="ID_PROJECT"/>
    <tableColumn id="7" xr3:uid="{00000000-0010-0000-0000-000007000000}" name="ID_PROSPECT_STATUS"/>
    <tableColumn id="8" xr3:uid="{00000000-0010-0000-0000-000008000000}" name="PROSPECT_NAME"/>
    <tableColumn id="9" xr3:uid="{00000000-0010-0000-0000-000009000000}" name="CLIENT_NAME"/>
    <tableColumn id="36" xr3:uid="{568F1D76-5E21-4FE3-8D5C-69A6C2C02B3F}" name="ACC TYPE"/>
    <tableColumn id="10" xr3:uid="{00000000-0010-0000-0000-00000A000000}" name="STATUS"/>
    <tableColumn id="11" xr3:uid="{00000000-0010-0000-0000-00000B000000}" name="TERM_OF_PAYMENT"/>
    <tableColumn id="12" xr3:uid="{00000000-0010-0000-0000-00000C000000}" name="AMOUNT"/>
    <tableColumn id="13" xr3:uid="{00000000-0010-0000-0000-00000D000000}" name="GP"/>
    <tableColumn id="14" xr3:uid="{00000000-0010-0000-0000-00000E000000}" name="AMOUNT_CL"/>
    <tableColumn id="15" xr3:uid="{00000000-0010-0000-0000-00000F000000}" name="GP_CL"/>
    <tableColumn id="16" xr3:uid="{00000000-0010-0000-0000-000010000000}" name="EST_PROSPECT_CLOSE_DATE"/>
    <tableColumn id="17" xr3:uid="{00000000-0010-0000-0000-000011000000}" name="TARGET_DATE"/>
    <tableColumn id="18" xr3:uid="{00000000-0010-0000-0000-000012000000}" name="CONFIDENCE_LEVEL"/>
    <tableColumn id="19" xr3:uid="{00000000-0010-0000-0000-000013000000}" name="3HW"/>
    <tableColumn id="20" xr3:uid="{00000000-0010-0000-0000-000014000000}" name="3SV"/>
    <tableColumn id="21" xr3:uid="{00000000-0010-0000-0000-000015000000}" name="3SW"/>
    <tableColumn id="22" xr3:uid="{00000000-0010-0000-0000-000016000000}" name="OSL "/>
    <tableColumn id="23" xr3:uid="{00000000-0010-0000-0000-000017000000}" name="OSV - Non OSL"/>
    <tableColumn id="24" xr3:uid="{00000000-0010-0000-0000-000018000000}" name="OSV - OSL"/>
    <tableColumn id="25" xr3:uid="{00000000-0010-0000-0000-000019000000}" name="BD"/>
    <tableColumn id="26" xr3:uid="{00000000-0010-0000-0000-00001A000000}" name="BD2"/>
    <tableColumn id="27" xr3:uid="{00000000-0010-0000-0000-00001B000000}" name="CEC"/>
    <tableColumn id="28" xr3:uid="{00000000-0010-0000-0000-00001C000000}" name="CTP"/>
    <tableColumn id="29" xr3:uid="{00000000-0010-0000-0000-00001D000000}" name="EII"/>
    <tableColumn id="30" xr3:uid="{00000000-0010-0000-0000-00001E000000}" name="FGRC"/>
    <tableColumn id="31" xr3:uid="{00000000-0010-0000-0000-00001F000000}" name="MAS"/>
    <tableColumn id="32" xr3:uid="{00000000-0010-0000-0000-000020000000}" name="MOC"/>
    <tableColumn id="33" xr3:uid="{00000000-0010-0000-0000-000021000000}" name="OPR&amp;DEL"/>
    <tableColumn id="34" xr3:uid="{00000000-0010-0000-0000-000022000000}" name="PAL"/>
    <tableColumn id="35" xr3:uid="{00000000-0010-0000-0000-000023000000}" name="SAPM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N278" totalsRowShown="0">
  <autoFilter ref="A1:N278" xr:uid="{00000000-0009-0000-0100-000002000000}"/>
  <tableColumns count="14">
    <tableColumn id="1" xr3:uid="{00000000-0010-0000-0100-000001000000}" name="ID_PROJECT"/>
    <tableColumn id="2" xr3:uid="{00000000-0010-0000-0100-000002000000}" name="PRODUCT"/>
    <tableColumn id="3" xr3:uid="{00000000-0010-0000-0100-000003000000}" name="DETAIL_PRODUCT"/>
    <tableColumn id="4" xr3:uid="{00000000-0010-0000-0100-000004000000}" name="CLIENT_NAME"/>
    <tableColumn id="5" xr3:uid="{00000000-0010-0000-0100-000005000000}" name="TOTAL_SALES"/>
    <tableColumn id="6" xr3:uid="{00000000-0010-0000-0100-000006000000}" name="TOTAL_COGS"/>
    <tableColumn id="7" xr3:uid="{00000000-0010-0000-0100-000007000000}" name="GP"/>
    <tableColumn id="8" xr3:uid="{00000000-0010-0000-0100-000008000000}" name="TOTAL_SALES_CL"/>
    <tableColumn id="9" xr3:uid="{00000000-0010-0000-0100-000009000000}" name="GP_CL"/>
    <tableColumn id="10" xr3:uid="{00000000-0010-0000-0100-00000A000000}" name="CONFIDENCE_LEVEL"/>
    <tableColumn id="11" xr3:uid="{00000000-0010-0000-0100-00000B000000}" name="DIVISI_NAME"/>
    <tableColumn id="12" xr3:uid="{00000000-0010-0000-0100-00000C000000}" name="GROUP_NAME"/>
    <tableColumn id="13" xr3:uid="{00000000-0010-0000-0100-00000D000000}" name="STATUS"/>
    <tableColumn id="14" xr3:uid="{00000000-0010-0000-0100-00000E000000}" name="EST_PROSPECT_CLOSE_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9"/>
  <sheetViews>
    <sheetView workbookViewId="0">
      <selection activeCell="H267" sqref="H267"/>
    </sheetView>
  </sheetViews>
  <sheetFormatPr defaultRowHeight="14.25" x14ac:dyDescent="0.45"/>
  <cols>
    <col min="1" max="1" width="14.265625" customWidth="1"/>
    <col min="2" max="2" width="25.46484375" customWidth="1"/>
    <col min="3" max="3" width="23.19921875" customWidth="1"/>
    <col min="4" max="4" width="12.73046875" customWidth="1"/>
    <col min="5" max="5" width="23.265625" customWidth="1"/>
    <col min="6" max="6" width="12.1328125" customWidth="1"/>
    <col min="7" max="7" width="6.796875" customWidth="1"/>
    <col min="8" max="8" width="58.3984375" customWidth="1"/>
    <col min="9" max="10" width="25.3984375" customWidth="1"/>
    <col min="11" max="11" width="19.265625" customWidth="1"/>
    <col min="12" max="12" width="31.53125" customWidth="1"/>
    <col min="13" max="15" width="15.86328125" style="2" bestFit="1" customWidth="1"/>
    <col min="16" max="16" width="14.3984375" style="2" bestFit="1" customWidth="1"/>
    <col min="17" max="17" width="26.73046875" customWidth="1"/>
    <col min="18" max="18" width="14.1328125" customWidth="1"/>
    <col min="19" max="19" width="19" customWidth="1"/>
    <col min="20" max="20" width="13" customWidth="1"/>
    <col min="21" max="21" width="5.06640625" customWidth="1"/>
    <col min="22" max="22" width="11.9296875" customWidth="1"/>
    <col min="23" max="23" width="10.33203125" customWidth="1"/>
    <col min="24" max="24" width="14.19921875" customWidth="1"/>
    <col min="25" max="25" width="11.3984375" customWidth="1"/>
    <col min="26" max="26" width="10.33203125" customWidth="1"/>
    <col min="27" max="27" width="13" customWidth="1"/>
    <col min="28" max="31" width="11.3984375" customWidth="1"/>
    <col min="32" max="32" width="5.796875" customWidth="1"/>
    <col min="33" max="33" width="11.3984375" customWidth="1"/>
    <col min="34" max="34" width="11.9296875" customWidth="1"/>
    <col min="35" max="35" width="5" customWidth="1"/>
    <col min="36" max="36" width="10.33203125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1130</v>
      </c>
      <c r="K1" t="s">
        <v>9</v>
      </c>
      <c r="L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hidden="1" x14ac:dyDescent="0.45">
      <c r="A2">
        <v>3553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1</v>
      </c>
      <c r="H2" t="s">
        <v>40</v>
      </c>
      <c r="I2" t="s">
        <v>41</v>
      </c>
      <c r="K2" t="s">
        <v>42</v>
      </c>
      <c r="L2" t="s">
        <v>43</v>
      </c>
      <c r="M2">
        <v>175000000</v>
      </c>
      <c r="N2">
        <v>175000000</v>
      </c>
      <c r="O2">
        <v>87500000</v>
      </c>
      <c r="P2">
        <v>87500000</v>
      </c>
      <c r="Q2" s="1">
        <v>45380</v>
      </c>
      <c r="R2" s="1">
        <v>45380</v>
      </c>
      <c r="S2">
        <v>50</v>
      </c>
      <c r="X2">
        <v>87500000</v>
      </c>
      <c r="AH2">
        <v>87500000</v>
      </c>
    </row>
    <row r="3" spans="1:36" hidden="1" x14ac:dyDescent="0.45">
      <c r="A3">
        <v>3554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>
        <v>1</v>
      </c>
      <c r="H3" t="s">
        <v>40</v>
      </c>
      <c r="I3" t="s">
        <v>41</v>
      </c>
      <c r="K3" t="s">
        <v>42</v>
      </c>
      <c r="L3" t="s">
        <v>44</v>
      </c>
      <c r="M3">
        <v>175000000</v>
      </c>
      <c r="N3">
        <v>175000000</v>
      </c>
      <c r="O3">
        <v>87500000</v>
      </c>
      <c r="P3">
        <v>87500000</v>
      </c>
      <c r="Q3" s="1">
        <v>45380</v>
      </c>
      <c r="R3" s="1">
        <v>45408</v>
      </c>
      <c r="S3">
        <v>50</v>
      </c>
      <c r="X3">
        <v>87500000</v>
      </c>
      <c r="AH3">
        <v>87500000</v>
      </c>
    </row>
    <row r="4" spans="1:36" hidden="1" x14ac:dyDescent="0.45">
      <c r="A4">
        <v>5299</v>
      </c>
      <c r="B4" t="s">
        <v>45</v>
      </c>
      <c r="C4" t="s">
        <v>46</v>
      </c>
      <c r="D4" t="s">
        <v>24</v>
      </c>
      <c r="E4" t="s">
        <v>47</v>
      </c>
      <c r="F4" t="s">
        <v>48</v>
      </c>
      <c r="G4">
        <v>4</v>
      </c>
      <c r="H4" t="s">
        <v>49</v>
      </c>
      <c r="I4" t="s">
        <v>50</v>
      </c>
      <c r="K4" t="s">
        <v>51</v>
      </c>
      <c r="L4" t="s">
        <v>52</v>
      </c>
      <c r="M4">
        <v>342000000</v>
      </c>
      <c r="N4">
        <v>342000000</v>
      </c>
      <c r="O4">
        <v>102600000</v>
      </c>
      <c r="P4">
        <v>102600000</v>
      </c>
      <c r="Q4" s="1">
        <v>45625</v>
      </c>
      <c r="R4" s="1">
        <v>45653</v>
      </c>
      <c r="S4">
        <v>30</v>
      </c>
      <c r="Y4">
        <v>102600000</v>
      </c>
      <c r="AE4">
        <v>102600000</v>
      </c>
    </row>
    <row r="5" spans="1:36" hidden="1" x14ac:dyDescent="0.45">
      <c r="A5">
        <v>5430</v>
      </c>
      <c r="B5" t="s">
        <v>45</v>
      </c>
      <c r="C5" t="s">
        <v>46</v>
      </c>
      <c r="D5" t="s">
        <v>24</v>
      </c>
      <c r="E5" t="s">
        <v>47</v>
      </c>
      <c r="F5" t="s">
        <v>53</v>
      </c>
      <c r="G5">
        <v>4</v>
      </c>
      <c r="H5" t="s">
        <v>54</v>
      </c>
      <c r="I5" t="s">
        <v>55</v>
      </c>
      <c r="K5" t="s">
        <v>51</v>
      </c>
      <c r="L5" t="s">
        <v>56</v>
      </c>
      <c r="M5">
        <v>700000000</v>
      </c>
      <c r="N5">
        <v>700000000</v>
      </c>
      <c r="O5">
        <v>140000000</v>
      </c>
      <c r="P5">
        <v>140000000</v>
      </c>
      <c r="Q5" s="1">
        <v>45716</v>
      </c>
      <c r="R5" s="1">
        <v>45422</v>
      </c>
      <c r="S5">
        <v>20</v>
      </c>
      <c r="X5">
        <v>140000000</v>
      </c>
      <c r="AE5">
        <v>140000000</v>
      </c>
    </row>
    <row r="6" spans="1:36" hidden="1" x14ac:dyDescent="0.45">
      <c r="A6">
        <v>5431</v>
      </c>
      <c r="B6" t="s">
        <v>45</v>
      </c>
      <c r="C6" t="s">
        <v>46</v>
      </c>
      <c r="D6" t="s">
        <v>24</v>
      </c>
      <c r="E6" t="s">
        <v>47</v>
      </c>
      <c r="F6" t="s">
        <v>53</v>
      </c>
      <c r="G6">
        <v>4</v>
      </c>
      <c r="H6" t="s">
        <v>54</v>
      </c>
      <c r="I6" t="s">
        <v>55</v>
      </c>
      <c r="K6" t="s">
        <v>51</v>
      </c>
      <c r="L6" t="s">
        <v>57</v>
      </c>
      <c r="M6">
        <v>700000000</v>
      </c>
      <c r="N6">
        <v>700000000</v>
      </c>
      <c r="O6">
        <v>140000000</v>
      </c>
      <c r="P6">
        <v>140000000</v>
      </c>
      <c r="Q6" s="1">
        <v>45716</v>
      </c>
      <c r="R6" s="1">
        <v>45443</v>
      </c>
      <c r="S6">
        <v>20</v>
      </c>
      <c r="X6">
        <v>140000000</v>
      </c>
      <c r="AE6">
        <v>140000000</v>
      </c>
    </row>
    <row r="7" spans="1:36" hidden="1" x14ac:dyDescent="0.45">
      <c r="A7">
        <v>5460</v>
      </c>
      <c r="B7" t="s">
        <v>58</v>
      </c>
      <c r="C7" t="s">
        <v>46</v>
      </c>
      <c r="D7" t="s">
        <v>24</v>
      </c>
      <c r="E7" t="s">
        <v>47</v>
      </c>
      <c r="F7" t="s">
        <v>59</v>
      </c>
      <c r="G7">
        <v>4</v>
      </c>
      <c r="H7" t="s">
        <v>60</v>
      </c>
      <c r="I7" t="s">
        <v>61</v>
      </c>
      <c r="K7" t="s">
        <v>51</v>
      </c>
      <c r="L7" t="s">
        <v>62</v>
      </c>
      <c r="M7">
        <v>2200000000</v>
      </c>
      <c r="N7">
        <v>942761429</v>
      </c>
      <c r="O7">
        <v>440000000</v>
      </c>
      <c r="P7">
        <v>188552285.80000001</v>
      </c>
      <c r="Q7" s="1">
        <v>45473</v>
      </c>
      <c r="R7" s="1">
        <v>45558</v>
      </c>
      <c r="S7">
        <v>20</v>
      </c>
      <c r="T7">
        <v>143302285.80000001</v>
      </c>
      <c r="X7">
        <v>45250000</v>
      </c>
      <c r="AA7">
        <v>143302285.80000001</v>
      </c>
      <c r="AD7">
        <v>45250000</v>
      </c>
    </row>
    <row r="8" spans="1:36" hidden="1" x14ac:dyDescent="0.45">
      <c r="A8">
        <v>5534</v>
      </c>
      <c r="B8" t="s">
        <v>35</v>
      </c>
      <c r="C8" t="s">
        <v>36</v>
      </c>
      <c r="D8" t="s">
        <v>37</v>
      </c>
      <c r="E8" t="s">
        <v>38</v>
      </c>
      <c r="F8" t="s">
        <v>63</v>
      </c>
      <c r="G8">
        <v>2</v>
      </c>
      <c r="H8" t="s">
        <v>64</v>
      </c>
      <c r="I8" t="s">
        <v>65</v>
      </c>
      <c r="K8" t="s">
        <v>66</v>
      </c>
      <c r="L8" t="s">
        <v>43</v>
      </c>
      <c r="M8">
        <v>350000000</v>
      </c>
      <c r="N8">
        <v>50000000</v>
      </c>
      <c r="O8">
        <v>175000000</v>
      </c>
      <c r="P8">
        <v>25000000</v>
      </c>
      <c r="Q8" s="1">
        <v>45345</v>
      </c>
      <c r="R8" s="1">
        <v>45351</v>
      </c>
      <c r="S8">
        <v>50</v>
      </c>
      <c r="V8">
        <v>25000000</v>
      </c>
      <c r="AH8">
        <v>25000000</v>
      </c>
    </row>
    <row r="9" spans="1:36" hidden="1" x14ac:dyDescent="0.45">
      <c r="A9">
        <v>5535</v>
      </c>
      <c r="B9" t="s">
        <v>35</v>
      </c>
      <c r="C9" t="s">
        <v>36</v>
      </c>
      <c r="D9" t="s">
        <v>37</v>
      </c>
      <c r="E9" t="s">
        <v>38</v>
      </c>
      <c r="F9" t="s">
        <v>63</v>
      </c>
      <c r="G9">
        <v>2</v>
      </c>
      <c r="H9" t="s">
        <v>64</v>
      </c>
      <c r="I9" t="s">
        <v>65</v>
      </c>
      <c r="K9" t="s">
        <v>66</v>
      </c>
      <c r="L9" t="s">
        <v>44</v>
      </c>
      <c r="M9">
        <v>350000000</v>
      </c>
      <c r="N9">
        <v>50000000</v>
      </c>
      <c r="O9">
        <v>175000000</v>
      </c>
      <c r="P9">
        <v>25000000</v>
      </c>
      <c r="Q9" s="1">
        <v>45345</v>
      </c>
      <c r="R9" s="1">
        <v>45464</v>
      </c>
      <c r="S9">
        <v>50</v>
      </c>
      <c r="V9">
        <v>25000000</v>
      </c>
      <c r="AH9">
        <v>25000000</v>
      </c>
    </row>
    <row r="10" spans="1:36" hidden="1" x14ac:dyDescent="0.45">
      <c r="A10">
        <v>5557</v>
      </c>
      <c r="B10" t="s">
        <v>58</v>
      </c>
      <c r="C10" t="s">
        <v>46</v>
      </c>
      <c r="D10" t="s">
        <v>24</v>
      </c>
      <c r="E10" t="s">
        <v>47</v>
      </c>
      <c r="F10" t="s">
        <v>67</v>
      </c>
      <c r="G10">
        <v>2</v>
      </c>
      <c r="H10" t="s">
        <v>68</v>
      </c>
      <c r="I10" t="s">
        <v>69</v>
      </c>
      <c r="K10" t="s">
        <v>66</v>
      </c>
      <c r="L10" t="s">
        <v>70</v>
      </c>
      <c r="M10">
        <v>2000000000</v>
      </c>
      <c r="N10">
        <v>400000000</v>
      </c>
      <c r="O10">
        <v>200000000</v>
      </c>
      <c r="P10">
        <v>40000000</v>
      </c>
      <c r="Q10" s="1">
        <v>45596</v>
      </c>
      <c r="R10" s="1">
        <v>45565</v>
      </c>
      <c r="S10">
        <v>10</v>
      </c>
      <c r="V10">
        <v>20000000</v>
      </c>
      <c r="X10">
        <v>20000000</v>
      </c>
      <c r="AE10">
        <v>20000000</v>
      </c>
      <c r="AJ10">
        <v>20000000</v>
      </c>
    </row>
    <row r="11" spans="1:36" hidden="1" x14ac:dyDescent="0.45">
      <c r="A11">
        <v>5625</v>
      </c>
      <c r="B11" t="s">
        <v>45</v>
      </c>
      <c r="C11" t="s">
        <v>46</v>
      </c>
      <c r="D11" t="s">
        <v>24</v>
      </c>
      <c r="E11" t="s">
        <v>47</v>
      </c>
      <c r="F11" t="s">
        <v>71</v>
      </c>
      <c r="G11">
        <v>4</v>
      </c>
      <c r="H11" t="s">
        <v>72</v>
      </c>
      <c r="I11" t="s">
        <v>50</v>
      </c>
      <c r="K11" t="s">
        <v>51</v>
      </c>
      <c r="L11" t="s">
        <v>52</v>
      </c>
      <c r="M11">
        <v>68400000</v>
      </c>
      <c r="N11">
        <v>68400000</v>
      </c>
      <c r="O11">
        <v>20520000</v>
      </c>
      <c r="P11">
        <v>20520000</v>
      </c>
      <c r="Q11" s="1">
        <v>45625</v>
      </c>
      <c r="R11" s="1">
        <v>45653</v>
      </c>
      <c r="S11">
        <v>30</v>
      </c>
      <c r="Y11">
        <v>20520000</v>
      </c>
      <c r="AE11">
        <v>20520000</v>
      </c>
    </row>
    <row r="12" spans="1:36" hidden="1" x14ac:dyDescent="0.45">
      <c r="A12">
        <v>5673</v>
      </c>
      <c r="B12" t="s">
        <v>35</v>
      </c>
      <c r="C12" t="s">
        <v>36</v>
      </c>
      <c r="D12" t="s">
        <v>37</v>
      </c>
      <c r="E12" t="s">
        <v>38</v>
      </c>
      <c r="F12" t="s">
        <v>73</v>
      </c>
      <c r="G12">
        <v>2</v>
      </c>
      <c r="H12" t="s">
        <v>74</v>
      </c>
      <c r="I12" t="s">
        <v>41</v>
      </c>
      <c r="K12" t="s">
        <v>66</v>
      </c>
      <c r="L12" t="s">
        <v>43</v>
      </c>
      <c r="M12">
        <v>50000000</v>
      </c>
      <c r="N12">
        <v>50000000</v>
      </c>
      <c r="O12">
        <v>25000000</v>
      </c>
      <c r="P12">
        <v>25000000</v>
      </c>
      <c r="Q12" s="1">
        <v>45408</v>
      </c>
      <c r="R12" s="1">
        <v>45408</v>
      </c>
      <c r="S12">
        <v>50</v>
      </c>
      <c r="X12">
        <v>25000000</v>
      </c>
      <c r="AH12">
        <v>25000000</v>
      </c>
    </row>
    <row r="13" spans="1:36" hidden="1" x14ac:dyDescent="0.45">
      <c r="A13">
        <v>5674</v>
      </c>
      <c r="B13" t="s">
        <v>35</v>
      </c>
      <c r="C13" t="s">
        <v>36</v>
      </c>
      <c r="D13" t="s">
        <v>37</v>
      </c>
      <c r="E13" t="s">
        <v>38</v>
      </c>
      <c r="F13" t="s">
        <v>73</v>
      </c>
      <c r="G13">
        <v>2</v>
      </c>
      <c r="H13" t="s">
        <v>74</v>
      </c>
      <c r="I13" t="s">
        <v>41</v>
      </c>
      <c r="K13" t="s">
        <v>66</v>
      </c>
      <c r="L13" t="s">
        <v>44</v>
      </c>
      <c r="M13">
        <v>50000000</v>
      </c>
      <c r="N13">
        <v>50000000</v>
      </c>
      <c r="O13">
        <v>25000000</v>
      </c>
      <c r="P13">
        <v>25000000</v>
      </c>
      <c r="Q13" s="1">
        <v>45408</v>
      </c>
      <c r="R13" s="1">
        <v>45436</v>
      </c>
      <c r="S13">
        <v>50</v>
      </c>
      <c r="X13">
        <v>25000000</v>
      </c>
      <c r="AH13">
        <v>25000000</v>
      </c>
    </row>
    <row r="14" spans="1:36" hidden="1" x14ac:dyDescent="0.45">
      <c r="A14">
        <v>5772</v>
      </c>
      <c r="B14" t="s">
        <v>45</v>
      </c>
      <c r="C14" t="s">
        <v>46</v>
      </c>
      <c r="D14" t="s">
        <v>24</v>
      </c>
      <c r="E14" t="s">
        <v>47</v>
      </c>
      <c r="F14" t="s">
        <v>75</v>
      </c>
      <c r="G14">
        <v>4</v>
      </c>
      <c r="H14" t="s">
        <v>76</v>
      </c>
      <c r="I14" t="s">
        <v>41</v>
      </c>
      <c r="K14" t="s">
        <v>51</v>
      </c>
      <c r="L14" t="s">
        <v>77</v>
      </c>
      <c r="M14">
        <v>8030000</v>
      </c>
      <c r="N14">
        <v>8030000</v>
      </c>
      <c r="O14">
        <v>3613500</v>
      </c>
      <c r="P14">
        <v>3613500</v>
      </c>
      <c r="Q14" s="1">
        <v>45504</v>
      </c>
      <c r="R14" s="1">
        <v>45534</v>
      </c>
      <c r="S14">
        <v>45</v>
      </c>
      <c r="Y14">
        <v>3613500</v>
      </c>
      <c r="AG14">
        <v>3613500</v>
      </c>
    </row>
    <row r="15" spans="1:36" hidden="1" x14ac:dyDescent="0.45">
      <c r="A15">
        <v>5773</v>
      </c>
      <c r="B15" t="s">
        <v>45</v>
      </c>
      <c r="C15" t="s">
        <v>46</v>
      </c>
      <c r="D15" t="s">
        <v>24</v>
      </c>
      <c r="E15" t="s">
        <v>47</v>
      </c>
      <c r="F15" t="s">
        <v>75</v>
      </c>
      <c r="G15">
        <v>4</v>
      </c>
      <c r="H15" t="s">
        <v>76</v>
      </c>
      <c r="I15" t="s">
        <v>41</v>
      </c>
      <c r="K15" t="s">
        <v>51</v>
      </c>
      <c r="L15" t="s">
        <v>78</v>
      </c>
      <c r="M15">
        <v>32120000</v>
      </c>
      <c r="N15">
        <v>32120000</v>
      </c>
      <c r="O15">
        <v>14454000</v>
      </c>
      <c r="P15">
        <v>14454000</v>
      </c>
      <c r="Q15" s="1">
        <v>45504</v>
      </c>
      <c r="R15" s="1">
        <v>45596</v>
      </c>
      <c r="S15">
        <v>45</v>
      </c>
      <c r="Y15">
        <v>14454000</v>
      </c>
      <c r="AG15">
        <v>14454000</v>
      </c>
    </row>
    <row r="16" spans="1:36" hidden="1" x14ac:dyDescent="0.45">
      <c r="A16">
        <v>5774</v>
      </c>
      <c r="B16" t="s">
        <v>45</v>
      </c>
      <c r="C16" t="s">
        <v>46</v>
      </c>
      <c r="D16" t="s">
        <v>24</v>
      </c>
      <c r="E16" t="s">
        <v>47</v>
      </c>
      <c r="F16" t="s">
        <v>79</v>
      </c>
      <c r="G16">
        <v>4</v>
      </c>
      <c r="H16" t="s">
        <v>80</v>
      </c>
      <c r="I16" t="s">
        <v>41</v>
      </c>
      <c r="K16" t="s">
        <v>51</v>
      </c>
      <c r="L16" t="s">
        <v>77</v>
      </c>
      <c r="M16">
        <v>21250000</v>
      </c>
      <c r="N16">
        <v>21250000</v>
      </c>
      <c r="O16">
        <v>9562500</v>
      </c>
      <c r="P16">
        <v>9562500</v>
      </c>
      <c r="Q16" s="1">
        <v>45504</v>
      </c>
      <c r="R16" s="1">
        <v>45534</v>
      </c>
      <c r="S16">
        <v>45</v>
      </c>
      <c r="Y16">
        <v>9562500</v>
      </c>
      <c r="AG16">
        <v>9562500</v>
      </c>
    </row>
    <row r="17" spans="1:36" hidden="1" x14ac:dyDescent="0.45">
      <c r="A17">
        <v>5775</v>
      </c>
      <c r="B17" t="s">
        <v>45</v>
      </c>
      <c r="C17" t="s">
        <v>46</v>
      </c>
      <c r="D17" t="s">
        <v>24</v>
      </c>
      <c r="E17" t="s">
        <v>47</v>
      </c>
      <c r="F17" t="s">
        <v>79</v>
      </c>
      <c r="G17">
        <v>4</v>
      </c>
      <c r="H17" t="s">
        <v>80</v>
      </c>
      <c r="I17" t="s">
        <v>41</v>
      </c>
      <c r="K17" t="s">
        <v>51</v>
      </c>
      <c r="L17" t="s">
        <v>78</v>
      </c>
      <c r="M17">
        <v>85000000</v>
      </c>
      <c r="N17">
        <v>85000000</v>
      </c>
      <c r="O17">
        <v>38250000</v>
      </c>
      <c r="P17">
        <v>38250000</v>
      </c>
      <c r="Q17" s="1">
        <v>45504</v>
      </c>
      <c r="R17" s="1">
        <v>45596</v>
      </c>
      <c r="S17">
        <v>45</v>
      </c>
      <c r="Y17">
        <v>38250000</v>
      </c>
      <c r="AG17">
        <v>38250000</v>
      </c>
    </row>
    <row r="18" spans="1:36" hidden="1" x14ac:dyDescent="0.45">
      <c r="A18">
        <v>5785</v>
      </c>
      <c r="B18" t="s">
        <v>35</v>
      </c>
      <c r="C18" t="s">
        <v>36</v>
      </c>
      <c r="D18" t="s">
        <v>37</v>
      </c>
      <c r="E18" t="s">
        <v>38</v>
      </c>
      <c r="F18" t="s">
        <v>81</v>
      </c>
      <c r="G18">
        <v>2</v>
      </c>
      <c r="H18" t="s">
        <v>82</v>
      </c>
      <c r="I18" t="s">
        <v>41</v>
      </c>
      <c r="K18" t="s">
        <v>66</v>
      </c>
      <c r="L18" t="s">
        <v>43</v>
      </c>
      <c r="M18">
        <v>60000000</v>
      </c>
      <c r="N18">
        <v>60000000</v>
      </c>
      <c r="O18">
        <v>30000000</v>
      </c>
      <c r="P18">
        <v>30000000</v>
      </c>
      <c r="Q18" s="1">
        <v>45373</v>
      </c>
      <c r="R18" s="1">
        <v>45373</v>
      </c>
      <c r="S18">
        <v>50</v>
      </c>
      <c r="X18">
        <v>30000000</v>
      </c>
      <c r="AH18">
        <v>30000000</v>
      </c>
    </row>
    <row r="19" spans="1:36" hidden="1" x14ac:dyDescent="0.45">
      <c r="A19">
        <v>5786</v>
      </c>
      <c r="B19" t="s">
        <v>35</v>
      </c>
      <c r="C19" t="s">
        <v>36</v>
      </c>
      <c r="D19" t="s">
        <v>37</v>
      </c>
      <c r="E19" t="s">
        <v>38</v>
      </c>
      <c r="F19" t="s">
        <v>81</v>
      </c>
      <c r="G19">
        <v>2</v>
      </c>
      <c r="H19" t="s">
        <v>82</v>
      </c>
      <c r="I19" t="s">
        <v>41</v>
      </c>
      <c r="K19" t="s">
        <v>66</v>
      </c>
      <c r="L19" t="s">
        <v>83</v>
      </c>
      <c r="M19">
        <v>36000000</v>
      </c>
      <c r="N19">
        <v>36000000</v>
      </c>
      <c r="O19">
        <v>18000000</v>
      </c>
      <c r="P19">
        <v>18000000</v>
      </c>
      <c r="Q19" s="1">
        <v>45373</v>
      </c>
      <c r="R19" s="1">
        <v>45408</v>
      </c>
      <c r="S19">
        <v>50</v>
      </c>
      <c r="X19">
        <v>18000000</v>
      </c>
      <c r="AH19">
        <v>18000000</v>
      </c>
    </row>
    <row r="20" spans="1:36" hidden="1" x14ac:dyDescent="0.45">
      <c r="A20">
        <v>5787</v>
      </c>
      <c r="B20" t="s">
        <v>35</v>
      </c>
      <c r="C20" t="s">
        <v>36</v>
      </c>
      <c r="D20" t="s">
        <v>37</v>
      </c>
      <c r="E20" t="s">
        <v>38</v>
      </c>
      <c r="F20" t="s">
        <v>81</v>
      </c>
      <c r="G20">
        <v>2</v>
      </c>
      <c r="H20" t="s">
        <v>82</v>
      </c>
      <c r="I20" t="s">
        <v>41</v>
      </c>
      <c r="K20" t="s">
        <v>66</v>
      </c>
      <c r="L20" t="s">
        <v>84</v>
      </c>
      <c r="M20">
        <v>24000000</v>
      </c>
      <c r="N20">
        <v>24000000</v>
      </c>
      <c r="O20">
        <v>12000000</v>
      </c>
      <c r="P20">
        <v>12000000</v>
      </c>
      <c r="Q20" s="1">
        <v>45373</v>
      </c>
      <c r="R20" s="1">
        <v>45443</v>
      </c>
      <c r="S20">
        <v>50</v>
      </c>
      <c r="X20">
        <v>12000000</v>
      </c>
      <c r="AH20">
        <v>12000000</v>
      </c>
    </row>
    <row r="21" spans="1:36" hidden="1" x14ac:dyDescent="0.45">
      <c r="A21">
        <v>5903</v>
      </c>
      <c r="B21" t="s">
        <v>35</v>
      </c>
      <c r="C21" t="s">
        <v>36</v>
      </c>
      <c r="D21" t="s">
        <v>37</v>
      </c>
      <c r="E21" t="s">
        <v>38</v>
      </c>
      <c r="F21" t="s">
        <v>85</v>
      </c>
      <c r="G21">
        <v>2</v>
      </c>
      <c r="H21" t="s">
        <v>86</v>
      </c>
      <c r="I21" t="s">
        <v>87</v>
      </c>
      <c r="K21" t="s">
        <v>66</v>
      </c>
      <c r="L21" t="s">
        <v>43</v>
      </c>
      <c r="M21">
        <v>150000000</v>
      </c>
      <c r="N21">
        <v>150000000</v>
      </c>
      <c r="O21">
        <v>75000000</v>
      </c>
      <c r="P21">
        <v>75000000</v>
      </c>
      <c r="Q21" s="1">
        <v>45345</v>
      </c>
      <c r="R21" s="1">
        <v>45345</v>
      </c>
      <c r="S21">
        <v>50</v>
      </c>
      <c r="X21">
        <v>75000000</v>
      </c>
      <c r="AH21">
        <v>75000000</v>
      </c>
    </row>
    <row r="22" spans="1:36" hidden="1" x14ac:dyDescent="0.45">
      <c r="A22">
        <v>5904</v>
      </c>
      <c r="B22" t="s">
        <v>35</v>
      </c>
      <c r="C22" t="s">
        <v>36</v>
      </c>
      <c r="D22" t="s">
        <v>37</v>
      </c>
      <c r="E22" t="s">
        <v>38</v>
      </c>
      <c r="F22" t="s">
        <v>85</v>
      </c>
      <c r="G22">
        <v>2</v>
      </c>
      <c r="H22" t="s">
        <v>86</v>
      </c>
      <c r="I22" t="s">
        <v>87</v>
      </c>
      <c r="K22" t="s">
        <v>66</v>
      </c>
      <c r="L22" t="s">
        <v>44</v>
      </c>
      <c r="M22">
        <v>150000000</v>
      </c>
      <c r="N22">
        <v>150000000</v>
      </c>
      <c r="O22">
        <v>75000000</v>
      </c>
      <c r="P22">
        <v>75000000</v>
      </c>
      <c r="Q22" s="1">
        <v>45345</v>
      </c>
      <c r="R22" s="1">
        <v>45443</v>
      </c>
      <c r="S22">
        <v>50</v>
      </c>
      <c r="X22">
        <v>75000000</v>
      </c>
      <c r="AH22">
        <v>75000000</v>
      </c>
    </row>
    <row r="23" spans="1:36" hidden="1" x14ac:dyDescent="0.45">
      <c r="A23">
        <v>5912</v>
      </c>
      <c r="B23" t="s">
        <v>88</v>
      </c>
      <c r="C23" t="s">
        <v>46</v>
      </c>
      <c r="D23" t="s">
        <v>24</v>
      </c>
      <c r="E23" t="s">
        <v>47</v>
      </c>
      <c r="F23" t="s">
        <v>89</v>
      </c>
      <c r="G23">
        <v>4</v>
      </c>
      <c r="H23" t="s">
        <v>90</v>
      </c>
      <c r="I23" t="s">
        <v>91</v>
      </c>
      <c r="K23" t="s">
        <v>51</v>
      </c>
      <c r="L23" t="s">
        <v>92</v>
      </c>
      <c r="M23">
        <v>347500000</v>
      </c>
      <c r="N23">
        <v>347500000</v>
      </c>
      <c r="O23">
        <v>104250000</v>
      </c>
      <c r="P23">
        <v>104250000</v>
      </c>
      <c r="Q23" s="1">
        <v>45443</v>
      </c>
      <c r="R23" s="1">
        <v>45473</v>
      </c>
      <c r="S23">
        <v>30</v>
      </c>
      <c r="W23">
        <v>33750000</v>
      </c>
      <c r="Y23">
        <v>70500000</v>
      </c>
      <c r="AE23">
        <v>104250000</v>
      </c>
    </row>
    <row r="24" spans="1:36" hidden="1" x14ac:dyDescent="0.45">
      <c r="A24">
        <v>5973</v>
      </c>
      <c r="B24" t="s">
        <v>45</v>
      </c>
      <c r="C24" t="s">
        <v>46</v>
      </c>
      <c r="D24" t="s">
        <v>24</v>
      </c>
      <c r="E24" t="s">
        <v>47</v>
      </c>
      <c r="F24" t="s">
        <v>93</v>
      </c>
      <c r="G24">
        <v>4</v>
      </c>
      <c r="H24" t="s">
        <v>94</v>
      </c>
      <c r="I24" t="s">
        <v>95</v>
      </c>
      <c r="K24" t="s">
        <v>51</v>
      </c>
      <c r="L24" t="s">
        <v>96</v>
      </c>
      <c r="M24">
        <v>200000000</v>
      </c>
      <c r="N24">
        <v>200000000</v>
      </c>
      <c r="O24">
        <v>140000000</v>
      </c>
      <c r="P24">
        <v>140000000</v>
      </c>
      <c r="Q24" s="1">
        <v>45777</v>
      </c>
      <c r="R24" s="1">
        <v>45808</v>
      </c>
      <c r="S24">
        <v>70</v>
      </c>
      <c r="X24">
        <v>140000000</v>
      </c>
      <c r="AC24">
        <v>140000000</v>
      </c>
    </row>
    <row r="25" spans="1:36" hidden="1" x14ac:dyDescent="0.45">
      <c r="A25">
        <v>6010</v>
      </c>
      <c r="B25" t="s">
        <v>45</v>
      </c>
      <c r="C25" t="s">
        <v>46</v>
      </c>
      <c r="D25" t="s">
        <v>24</v>
      </c>
      <c r="E25" t="s">
        <v>47</v>
      </c>
      <c r="F25" t="s">
        <v>97</v>
      </c>
      <c r="G25">
        <v>4</v>
      </c>
      <c r="H25" t="s">
        <v>98</v>
      </c>
      <c r="I25" t="s">
        <v>99</v>
      </c>
      <c r="K25" t="s">
        <v>51</v>
      </c>
      <c r="L25" t="s">
        <v>96</v>
      </c>
      <c r="M25">
        <v>200000000</v>
      </c>
      <c r="N25">
        <v>30000000</v>
      </c>
      <c r="O25">
        <v>80000000</v>
      </c>
      <c r="P25">
        <v>12000000</v>
      </c>
      <c r="Q25" s="1">
        <v>45504</v>
      </c>
      <c r="R25" s="1">
        <v>45535</v>
      </c>
      <c r="S25">
        <v>40</v>
      </c>
      <c r="V25">
        <v>12000000</v>
      </c>
      <c r="AJ25">
        <v>12000000</v>
      </c>
    </row>
    <row r="26" spans="1:36" hidden="1" x14ac:dyDescent="0.45">
      <c r="A26">
        <v>6014</v>
      </c>
      <c r="B26" t="s">
        <v>45</v>
      </c>
      <c r="C26" t="s">
        <v>46</v>
      </c>
      <c r="D26" t="s">
        <v>24</v>
      </c>
      <c r="E26" t="s">
        <v>47</v>
      </c>
      <c r="F26" t="s">
        <v>100</v>
      </c>
      <c r="G26">
        <v>4</v>
      </c>
      <c r="H26" t="s">
        <v>101</v>
      </c>
      <c r="I26" t="s">
        <v>41</v>
      </c>
      <c r="K26" t="s">
        <v>51</v>
      </c>
      <c r="L26" t="s">
        <v>102</v>
      </c>
      <c r="M26">
        <v>495000000</v>
      </c>
      <c r="N26">
        <v>495000000</v>
      </c>
      <c r="O26">
        <v>396000000</v>
      </c>
      <c r="P26">
        <v>396000000</v>
      </c>
      <c r="Q26" s="1">
        <v>45688</v>
      </c>
      <c r="R26" s="1">
        <v>45716</v>
      </c>
      <c r="S26">
        <v>80</v>
      </c>
      <c r="Y26">
        <v>396000000</v>
      </c>
      <c r="AG26">
        <v>396000000</v>
      </c>
    </row>
    <row r="27" spans="1:36" hidden="1" x14ac:dyDescent="0.45">
      <c r="A27">
        <v>6043</v>
      </c>
      <c r="B27" t="s">
        <v>45</v>
      </c>
      <c r="C27" t="s">
        <v>46</v>
      </c>
      <c r="D27" t="s">
        <v>24</v>
      </c>
      <c r="E27" t="s">
        <v>47</v>
      </c>
      <c r="F27" t="s">
        <v>103</v>
      </c>
      <c r="G27">
        <v>4</v>
      </c>
      <c r="H27" t="s">
        <v>104</v>
      </c>
      <c r="I27" t="s">
        <v>41</v>
      </c>
      <c r="K27" t="s">
        <v>51</v>
      </c>
      <c r="L27" t="s">
        <v>77</v>
      </c>
      <c r="M27">
        <v>20000000</v>
      </c>
      <c r="N27">
        <v>20000000</v>
      </c>
      <c r="O27">
        <v>9000000</v>
      </c>
      <c r="P27">
        <v>9000000</v>
      </c>
      <c r="Q27" s="1">
        <v>45504</v>
      </c>
      <c r="R27" s="1">
        <v>45534</v>
      </c>
      <c r="S27">
        <v>45</v>
      </c>
      <c r="Y27">
        <v>9000000</v>
      </c>
      <c r="AG27">
        <v>9000000</v>
      </c>
    </row>
    <row r="28" spans="1:36" hidden="1" x14ac:dyDescent="0.45">
      <c r="A28">
        <v>6044</v>
      </c>
      <c r="B28" t="s">
        <v>45</v>
      </c>
      <c r="C28" t="s">
        <v>46</v>
      </c>
      <c r="D28" t="s">
        <v>24</v>
      </c>
      <c r="E28" t="s">
        <v>47</v>
      </c>
      <c r="F28" t="s">
        <v>103</v>
      </c>
      <c r="G28">
        <v>4</v>
      </c>
      <c r="H28" t="s">
        <v>104</v>
      </c>
      <c r="I28" t="s">
        <v>41</v>
      </c>
      <c r="K28" t="s">
        <v>51</v>
      </c>
      <c r="L28" t="s">
        <v>78</v>
      </c>
      <c r="M28">
        <v>80000000</v>
      </c>
      <c r="N28">
        <v>80000000</v>
      </c>
      <c r="O28">
        <v>36000000</v>
      </c>
      <c r="P28">
        <v>36000000</v>
      </c>
      <c r="Q28" s="1">
        <v>45504</v>
      </c>
      <c r="R28" s="1">
        <v>45562</v>
      </c>
      <c r="S28">
        <v>45</v>
      </c>
      <c r="Y28">
        <v>36000000</v>
      </c>
      <c r="AG28">
        <v>36000000</v>
      </c>
    </row>
    <row r="29" spans="1:36" hidden="1" x14ac:dyDescent="0.45">
      <c r="A29">
        <v>6086</v>
      </c>
      <c r="B29" t="s">
        <v>88</v>
      </c>
      <c r="C29" t="s">
        <v>46</v>
      </c>
      <c r="D29" t="s">
        <v>24</v>
      </c>
      <c r="E29" t="s">
        <v>47</v>
      </c>
      <c r="F29" t="s">
        <v>105</v>
      </c>
      <c r="G29">
        <v>1</v>
      </c>
      <c r="H29" t="s">
        <v>106</v>
      </c>
      <c r="I29" t="s">
        <v>107</v>
      </c>
      <c r="K29" t="s">
        <v>42</v>
      </c>
      <c r="L29" t="s">
        <v>108</v>
      </c>
      <c r="M29">
        <v>77000000</v>
      </c>
      <c r="N29">
        <v>77000000</v>
      </c>
      <c r="O29">
        <v>19250000</v>
      </c>
      <c r="P29">
        <v>19250000</v>
      </c>
      <c r="Q29" s="1">
        <v>45596</v>
      </c>
      <c r="R29" s="1">
        <v>45626</v>
      </c>
      <c r="S29">
        <v>25</v>
      </c>
      <c r="X29">
        <v>19250000</v>
      </c>
      <c r="AC29">
        <v>19250000</v>
      </c>
    </row>
    <row r="30" spans="1:36" hidden="1" x14ac:dyDescent="0.45">
      <c r="A30">
        <v>6127</v>
      </c>
      <c r="B30" t="s">
        <v>45</v>
      </c>
      <c r="C30" t="s">
        <v>46</v>
      </c>
      <c r="D30" t="s">
        <v>24</v>
      </c>
      <c r="E30" t="s">
        <v>47</v>
      </c>
      <c r="F30" t="s">
        <v>109</v>
      </c>
      <c r="G30">
        <v>4</v>
      </c>
      <c r="H30" t="s">
        <v>110</v>
      </c>
      <c r="I30" t="s">
        <v>111</v>
      </c>
      <c r="K30" t="s">
        <v>51</v>
      </c>
      <c r="L30" t="s">
        <v>112</v>
      </c>
      <c r="M30">
        <v>600000000</v>
      </c>
      <c r="N30">
        <v>600000000</v>
      </c>
      <c r="O30">
        <v>480000000</v>
      </c>
      <c r="P30">
        <v>480000000</v>
      </c>
      <c r="Q30" s="1">
        <v>45504</v>
      </c>
      <c r="R30" s="1">
        <v>45534</v>
      </c>
      <c r="S30">
        <v>80</v>
      </c>
      <c r="X30">
        <v>480000000</v>
      </c>
      <c r="AE30">
        <v>480000000</v>
      </c>
    </row>
    <row r="31" spans="1:36" hidden="1" x14ac:dyDescent="0.45">
      <c r="A31">
        <v>6150</v>
      </c>
      <c r="B31" t="s">
        <v>113</v>
      </c>
      <c r="C31" t="s">
        <v>46</v>
      </c>
      <c r="D31" t="s">
        <v>24</v>
      </c>
      <c r="E31" t="s">
        <v>47</v>
      </c>
      <c r="F31" t="s">
        <v>114</v>
      </c>
      <c r="G31">
        <v>2</v>
      </c>
      <c r="H31" t="s">
        <v>115</v>
      </c>
      <c r="I31" t="s">
        <v>116</v>
      </c>
      <c r="K31" t="s">
        <v>66</v>
      </c>
      <c r="L31" t="s">
        <v>117</v>
      </c>
      <c r="M31">
        <v>200000000</v>
      </c>
      <c r="N31">
        <v>200000000</v>
      </c>
      <c r="O31">
        <v>60000000</v>
      </c>
      <c r="P31">
        <v>60000000</v>
      </c>
      <c r="Q31" s="1">
        <v>45565</v>
      </c>
      <c r="R31" s="1">
        <v>45616</v>
      </c>
      <c r="S31">
        <v>30</v>
      </c>
      <c r="Y31">
        <v>60000000</v>
      </c>
      <c r="AE31">
        <v>60000000</v>
      </c>
    </row>
    <row r="32" spans="1:36" hidden="1" x14ac:dyDescent="0.45">
      <c r="A32">
        <v>6151</v>
      </c>
      <c r="B32" t="s">
        <v>113</v>
      </c>
      <c r="C32" t="s">
        <v>46</v>
      </c>
      <c r="D32" t="s">
        <v>24</v>
      </c>
      <c r="E32" t="s">
        <v>47</v>
      </c>
      <c r="F32" t="s">
        <v>114</v>
      </c>
      <c r="G32">
        <v>2</v>
      </c>
      <c r="H32" t="s">
        <v>115</v>
      </c>
      <c r="I32" t="s">
        <v>116</v>
      </c>
      <c r="K32" t="s">
        <v>66</v>
      </c>
      <c r="L32" t="s">
        <v>118</v>
      </c>
      <c r="M32">
        <v>400000000</v>
      </c>
      <c r="N32">
        <v>400000000</v>
      </c>
      <c r="O32">
        <v>120000000</v>
      </c>
      <c r="P32">
        <v>120000000</v>
      </c>
      <c r="Q32" s="1">
        <v>45565</v>
      </c>
      <c r="R32" s="1">
        <v>45646</v>
      </c>
      <c r="S32">
        <v>30</v>
      </c>
      <c r="Y32">
        <v>120000000</v>
      </c>
      <c r="AE32">
        <v>120000000</v>
      </c>
    </row>
    <row r="33" spans="1:34" hidden="1" x14ac:dyDescent="0.45">
      <c r="A33">
        <v>6152</v>
      </c>
      <c r="B33" t="s">
        <v>113</v>
      </c>
      <c r="C33" t="s">
        <v>46</v>
      </c>
      <c r="D33" t="s">
        <v>24</v>
      </c>
      <c r="E33" t="s">
        <v>47</v>
      </c>
      <c r="F33" t="s">
        <v>114</v>
      </c>
      <c r="G33">
        <v>2</v>
      </c>
      <c r="H33" t="s">
        <v>115</v>
      </c>
      <c r="I33" t="s">
        <v>116</v>
      </c>
      <c r="K33" t="s">
        <v>66</v>
      </c>
      <c r="L33" t="s">
        <v>119</v>
      </c>
      <c r="M33">
        <v>300000000</v>
      </c>
      <c r="N33">
        <v>300000000</v>
      </c>
      <c r="O33">
        <v>90000000</v>
      </c>
      <c r="P33">
        <v>90000000</v>
      </c>
      <c r="Q33" s="1">
        <v>45565</v>
      </c>
      <c r="R33" s="1">
        <v>45677</v>
      </c>
      <c r="S33">
        <v>30</v>
      </c>
      <c r="Y33">
        <v>90000000</v>
      </c>
      <c r="AE33">
        <v>90000000</v>
      </c>
    </row>
    <row r="34" spans="1:34" hidden="1" x14ac:dyDescent="0.45">
      <c r="A34">
        <v>6153</v>
      </c>
      <c r="B34" t="s">
        <v>113</v>
      </c>
      <c r="C34" t="s">
        <v>46</v>
      </c>
      <c r="D34" t="s">
        <v>24</v>
      </c>
      <c r="E34" t="s">
        <v>47</v>
      </c>
      <c r="F34" t="s">
        <v>114</v>
      </c>
      <c r="G34">
        <v>2</v>
      </c>
      <c r="H34" t="s">
        <v>115</v>
      </c>
      <c r="I34" t="s">
        <v>116</v>
      </c>
      <c r="K34" t="s">
        <v>66</v>
      </c>
      <c r="L34" t="s">
        <v>120</v>
      </c>
      <c r="M34">
        <v>100000000</v>
      </c>
      <c r="N34">
        <v>100000000</v>
      </c>
      <c r="O34">
        <v>30000000</v>
      </c>
      <c r="P34">
        <v>30000000</v>
      </c>
      <c r="Q34" s="1">
        <v>45565</v>
      </c>
      <c r="R34" s="1">
        <v>45828</v>
      </c>
      <c r="S34">
        <v>30</v>
      </c>
      <c r="Y34">
        <v>30000000</v>
      </c>
      <c r="AE34">
        <v>30000000</v>
      </c>
    </row>
    <row r="35" spans="1:34" hidden="1" x14ac:dyDescent="0.45">
      <c r="A35">
        <v>6221</v>
      </c>
      <c r="B35" t="s">
        <v>121</v>
      </c>
      <c r="C35" t="s">
        <v>36</v>
      </c>
      <c r="D35" t="s">
        <v>37</v>
      </c>
      <c r="E35" t="s">
        <v>38</v>
      </c>
      <c r="F35" t="s">
        <v>122</v>
      </c>
      <c r="G35">
        <v>2</v>
      </c>
      <c r="H35" t="s">
        <v>123</v>
      </c>
      <c r="I35" t="s">
        <v>124</v>
      </c>
      <c r="K35" t="s">
        <v>66</v>
      </c>
      <c r="L35" t="s">
        <v>102</v>
      </c>
      <c r="M35">
        <v>145000000</v>
      </c>
      <c r="N35">
        <v>45000000</v>
      </c>
      <c r="O35">
        <v>43500000</v>
      </c>
      <c r="P35">
        <v>13500000</v>
      </c>
      <c r="Q35" s="1">
        <v>45380</v>
      </c>
      <c r="R35" s="1">
        <v>45390</v>
      </c>
      <c r="S35">
        <v>30</v>
      </c>
      <c r="V35">
        <v>13500000</v>
      </c>
      <c r="AH35">
        <v>13500000</v>
      </c>
    </row>
    <row r="36" spans="1:34" hidden="1" x14ac:dyDescent="0.45">
      <c r="A36">
        <v>6232</v>
      </c>
      <c r="B36" t="s">
        <v>125</v>
      </c>
      <c r="C36" t="s">
        <v>46</v>
      </c>
      <c r="D36" t="s">
        <v>24</v>
      </c>
      <c r="E36" t="s">
        <v>47</v>
      </c>
      <c r="F36" t="s">
        <v>126</v>
      </c>
      <c r="G36">
        <v>4</v>
      </c>
      <c r="H36" t="s">
        <v>127</v>
      </c>
      <c r="I36" t="s">
        <v>128</v>
      </c>
      <c r="K36" t="s">
        <v>51</v>
      </c>
      <c r="L36" t="s">
        <v>129</v>
      </c>
      <c r="M36">
        <v>250000000</v>
      </c>
      <c r="N36">
        <v>250000000</v>
      </c>
      <c r="O36">
        <v>75000000</v>
      </c>
      <c r="P36">
        <v>75000000</v>
      </c>
      <c r="Q36" s="1">
        <v>45626</v>
      </c>
      <c r="R36" s="1">
        <v>45443</v>
      </c>
      <c r="S36">
        <v>30</v>
      </c>
      <c r="X36">
        <v>75000000</v>
      </c>
      <c r="Z36">
        <v>75000000</v>
      </c>
    </row>
    <row r="37" spans="1:34" hidden="1" x14ac:dyDescent="0.45">
      <c r="A37">
        <v>6233</v>
      </c>
      <c r="B37" t="s">
        <v>125</v>
      </c>
      <c r="C37" t="s">
        <v>46</v>
      </c>
      <c r="D37" t="s">
        <v>24</v>
      </c>
      <c r="E37" t="s">
        <v>47</v>
      </c>
      <c r="F37" t="s">
        <v>126</v>
      </c>
      <c r="G37">
        <v>4</v>
      </c>
      <c r="H37" t="s">
        <v>127</v>
      </c>
      <c r="I37" t="s">
        <v>128</v>
      </c>
      <c r="K37" t="s">
        <v>51</v>
      </c>
      <c r="L37" t="s">
        <v>130</v>
      </c>
      <c r="M37">
        <v>250000000</v>
      </c>
      <c r="N37">
        <v>250000000</v>
      </c>
      <c r="O37">
        <v>75000000</v>
      </c>
      <c r="P37">
        <v>75000000</v>
      </c>
      <c r="Q37" s="1">
        <v>45626</v>
      </c>
      <c r="R37" s="1">
        <v>45473</v>
      </c>
      <c r="S37">
        <v>30</v>
      </c>
      <c r="X37">
        <v>75000000</v>
      </c>
      <c r="Z37">
        <v>75000000</v>
      </c>
    </row>
    <row r="38" spans="1:34" hidden="1" x14ac:dyDescent="0.45">
      <c r="A38">
        <v>6300</v>
      </c>
      <c r="B38" t="s">
        <v>121</v>
      </c>
      <c r="C38" t="s">
        <v>36</v>
      </c>
      <c r="D38" t="s">
        <v>37</v>
      </c>
      <c r="E38" t="s">
        <v>38</v>
      </c>
      <c r="F38" t="s">
        <v>131</v>
      </c>
      <c r="G38">
        <v>1</v>
      </c>
      <c r="H38" t="s">
        <v>132</v>
      </c>
      <c r="I38" t="s">
        <v>46</v>
      </c>
      <c r="K38" t="s">
        <v>42</v>
      </c>
      <c r="L38" t="s">
        <v>102</v>
      </c>
      <c r="M38">
        <v>406761563</v>
      </c>
      <c r="N38">
        <v>117271563</v>
      </c>
      <c r="O38">
        <v>203380781.5</v>
      </c>
      <c r="P38">
        <v>58635781.5</v>
      </c>
      <c r="Q38" s="1">
        <v>45390</v>
      </c>
      <c r="R38" s="1">
        <v>45397</v>
      </c>
      <c r="S38">
        <v>50</v>
      </c>
      <c r="V38">
        <v>58635781.5</v>
      </c>
      <c r="AH38">
        <v>58635781.5</v>
      </c>
    </row>
    <row r="39" spans="1:34" hidden="1" x14ac:dyDescent="0.45">
      <c r="A39">
        <v>6310</v>
      </c>
      <c r="B39" t="s">
        <v>125</v>
      </c>
      <c r="C39" t="s">
        <v>46</v>
      </c>
      <c r="D39" t="s">
        <v>24</v>
      </c>
      <c r="E39" t="s">
        <v>47</v>
      </c>
      <c r="F39" t="s">
        <v>133</v>
      </c>
      <c r="G39">
        <v>4</v>
      </c>
      <c r="H39" t="s">
        <v>134</v>
      </c>
      <c r="I39" t="s">
        <v>135</v>
      </c>
      <c r="K39" t="s">
        <v>51</v>
      </c>
      <c r="L39" t="s">
        <v>136</v>
      </c>
      <c r="M39">
        <v>500000000</v>
      </c>
      <c r="N39">
        <v>300000000</v>
      </c>
      <c r="O39">
        <v>250000000</v>
      </c>
      <c r="P39">
        <v>150000000</v>
      </c>
      <c r="Q39" s="1">
        <v>45777</v>
      </c>
      <c r="R39" s="1">
        <v>45657</v>
      </c>
      <c r="S39">
        <v>50</v>
      </c>
      <c r="T39">
        <v>150000000</v>
      </c>
      <c r="AD39">
        <v>150000000</v>
      </c>
    </row>
    <row r="40" spans="1:34" hidden="1" x14ac:dyDescent="0.45">
      <c r="A40">
        <v>7485</v>
      </c>
      <c r="B40" t="s">
        <v>121</v>
      </c>
      <c r="C40" t="s">
        <v>36</v>
      </c>
      <c r="D40" t="s">
        <v>37</v>
      </c>
      <c r="E40" t="s">
        <v>38</v>
      </c>
      <c r="F40" t="s">
        <v>137</v>
      </c>
      <c r="G40">
        <v>1</v>
      </c>
      <c r="H40" t="s">
        <v>138</v>
      </c>
      <c r="I40" t="s">
        <v>124</v>
      </c>
      <c r="K40" t="s">
        <v>42</v>
      </c>
      <c r="L40" t="s">
        <v>102</v>
      </c>
      <c r="M40">
        <v>100000000</v>
      </c>
      <c r="N40">
        <v>100000000</v>
      </c>
      <c r="O40">
        <v>50000000</v>
      </c>
      <c r="P40">
        <v>50000000</v>
      </c>
      <c r="Q40" s="1">
        <v>45471</v>
      </c>
      <c r="R40" s="1">
        <v>45481</v>
      </c>
      <c r="S40">
        <v>50</v>
      </c>
      <c r="X40">
        <v>50000000</v>
      </c>
      <c r="AH40">
        <v>50000000</v>
      </c>
    </row>
    <row r="41" spans="1:34" hidden="1" x14ac:dyDescent="0.45">
      <c r="A41">
        <v>7511</v>
      </c>
      <c r="B41" t="s">
        <v>45</v>
      </c>
      <c r="C41" t="s">
        <v>46</v>
      </c>
      <c r="D41" t="s">
        <v>24</v>
      </c>
      <c r="E41" t="s">
        <v>47</v>
      </c>
      <c r="F41" t="s">
        <v>139</v>
      </c>
      <c r="G41">
        <v>2</v>
      </c>
      <c r="H41" t="s">
        <v>140</v>
      </c>
      <c r="I41" t="s">
        <v>95</v>
      </c>
      <c r="K41" t="s">
        <v>66</v>
      </c>
      <c r="L41" t="s">
        <v>96</v>
      </c>
      <c r="M41">
        <v>40000000</v>
      </c>
      <c r="N41">
        <v>40000000</v>
      </c>
      <c r="O41">
        <v>28000000</v>
      </c>
      <c r="P41">
        <v>28000000</v>
      </c>
      <c r="Q41" s="1">
        <v>46203</v>
      </c>
      <c r="R41" s="1">
        <v>46234</v>
      </c>
      <c r="S41">
        <v>70</v>
      </c>
      <c r="X41">
        <v>28000000</v>
      </c>
      <c r="AC41">
        <v>28000000</v>
      </c>
    </row>
    <row r="42" spans="1:34" hidden="1" x14ac:dyDescent="0.45">
      <c r="A42">
        <v>7527</v>
      </c>
      <c r="B42" t="s">
        <v>45</v>
      </c>
      <c r="C42" t="s">
        <v>46</v>
      </c>
      <c r="D42" t="s">
        <v>24</v>
      </c>
      <c r="E42" t="s">
        <v>47</v>
      </c>
      <c r="F42" t="s">
        <v>141</v>
      </c>
      <c r="G42">
        <v>4</v>
      </c>
      <c r="H42" t="s">
        <v>142</v>
      </c>
      <c r="I42" t="s">
        <v>95</v>
      </c>
      <c r="K42" t="s">
        <v>51</v>
      </c>
      <c r="L42" t="s">
        <v>96</v>
      </c>
      <c r="M42">
        <v>10000000</v>
      </c>
      <c r="N42">
        <v>10000000</v>
      </c>
      <c r="O42">
        <v>7000000</v>
      </c>
      <c r="P42">
        <v>7000000</v>
      </c>
      <c r="Q42" s="1">
        <v>45534</v>
      </c>
      <c r="R42" s="1">
        <v>45562</v>
      </c>
      <c r="S42">
        <v>70</v>
      </c>
      <c r="X42">
        <v>7000000</v>
      </c>
      <c r="AC42">
        <v>7000000</v>
      </c>
    </row>
    <row r="43" spans="1:34" hidden="1" x14ac:dyDescent="0.45">
      <c r="A43">
        <v>7562</v>
      </c>
      <c r="B43" t="s">
        <v>113</v>
      </c>
      <c r="C43" t="s">
        <v>46</v>
      </c>
      <c r="D43" t="s">
        <v>24</v>
      </c>
      <c r="E43" t="s">
        <v>47</v>
      </c>
      <c r="F43" t="s">
        <v>143</v>
      </c>
      <c r="G43">
        <v>3</v>
      </c>
      <c r="H43" t="s">
        <v>144</v>
      </c>
      <c r="I43" t="s">
        <v>145</v>
      </c>
      <c r="K43" t="s">
        <v>146</v>
      </c>
      <c r="L43" t="s">
        <v>147</v>
      </c>
      <c r="M43">
        <v>100000000</v>
      </c>
      <c r="N43">
        <v>200000000</v>
      </c>
      <c r="O43">
        <v>25000000</v>
      </c>
      <c r="P43">
        <v>50000000</v>
      </c>
      <c r="Q43" s="1">
        <v>45493</v>
      </c>
      <c r="R43" s="1">
        <v>45555</v>
      </c>
      <c r="S43">
        <v>25</v>
      </c>
      <c r="X43">
        <v>50000000</v>
      </c>
      <c r="AC43">
        <v>50000000</v>
      </c>
    </row>
    <row r="44" spans="1:34" hidden="1" x14ac:dyDescent="0.45">
      <c r="A44">
        <v>7563</v>
      </c>
      <c r="B44" t="s">
        <v>113</v>
      </c>
      <c r="C44" t="s">
        <v>46</v>
      </c>
      <c r="D44" t="s">
        <v>24</v>
      </c>
      <c r="E44" t="s">
        <v>47</v>
      </c>
      <c r="F44" t="s">
        <v>143</v>
      </c>
      <c r="G44">
        <v>3</v>
      </c>
      <c r="H44" t="s">
        <v>144</v>
      </c>
      <c r="I44" t="s">
        <v>145</v>
      </c>
      <c r="K44" t="s">
        <v>146</v>
      </c>
      <c r="L44" t="s">
        <v>148</v>
      </c>
      <c r="M44">
        <v>150000000</v>
      </c>
      <c r="N44">
        <v>300000000</v>
      </c>
      <c r="O44">
        <v>37500000</v>
      </c>
      <c r="P44">
        <v>75000000</v>
      </c>
      <c r="Q44" s="1">
        <v>45493</v>
      </c>
      <c r="R44" s="1">
        <v>45616</v>
      </c>
      <c r="S44">
        <v>25</v>
      </c>
      <c r="X44">
        <v>75000000</v>
      </c>
      <c r="AC44">
        <v>75000000</v>
      </c>
    </row>
    <row r="45" spans="1:34" hidden="1" x14ac:dyDescent="0.45">
      <c r="A45">
        <v>7564</v>
      </c>
      <c r="B45" t="s">
        <v>113</v>
      </c>
      <c r="C45" t="s">
        <v>46</v>
      </c>
      <c r="D45" t="s">
        <v>24</v>
      </c>
      <c r="E45" t="s">
        <v>47</v>
      </c>
      <c r="F45" t="s">
        <v>143</v>
      </c>
      <c r="G45">
        <v>3</v>
      </c>
      <c r="H45" t="s">
        <v>144</v>
      </c>
      <c r="I45" t="s">
        <v>145</v>
      </c>
      <c r="K45" t="s">
        <v>146</v>
      </c>
      <c r="L45" t="s">
        <v>118</v>
      </c>
      <c r="M45">
        <v>200000000</v>
      </c>
      <c r="N45">
        <v>400000000</v>
      </c>
      <c r="O45">
        <v>50000000</v>
      </c>
      <c r="P45">
        <v>100000000</v>
      </c>
      <c r="Q45" s="1">
        <v>45493</v>
      </c>
      <c r="R45" s="1">
        <v>45677</v>
      </c>
      <c r="S45">
        <v>25</v>
      </c>
      <c r="X45">
        <v>100000000</v>
      </c>
      <c r="AC45">
        <v>100000000</v>
      </c>
    </row>
    <row r="46" spans="1:34" hidden="1" x14ac:dyDescent="0.45">
      <c r="A46">
        <v>7565</v>
      </c>
      <c r="B46" t="s">
        <v>113</v>
      </c>
      <c r="C46" t="s">
        <v>46</v>
      </c>
      <c r="D46" t="s">
        <v>24</v>
      </c>
      <c r="E46" t="s">
        <v>47</v>
      </c>
      <c r="F46" t="s">
        <v>143</v>
      </c>
      <c r="G46">
        <v>3</v>
      </c>
      <c r="H46" t="s">
        <v>144</v>
      </c>
      <c r="I46" t="s">
        <v>145</v>
      </c>
      <c r="K46" t="s">
        <v>146</v>
      </c>
      <c r="L46" t="s">
        <v>149</v>
      </c>
      <c r="M46">
        <v>50000000</v>
      </c>
      <c r="N46">
        <v>100000000</v>
      </c>
      <c r="O46">
        <v>12500000</v>
      </c>
      <c r="P46">
        <v>25000000</v>
      </c>
      <c r="Q46" s="1">
        <v>45493</v>
      </c>
      <c r="R46" s="1">
        <v>45736</v>
      </c>
      <c r="S46">
        <v>25</v>
      </c>
      <c r="X46">
        <v>25000000</v>
      </c>
      <c r="AC46">
        <v>25000000</v>
      </c>
    </row>
    <row r="47" spans="1:34" hidden="1" x14ac:dyDescent="0.45">
      <c r="A47">
        <v>7573</v>
      </c>
      <c r="B47" t="s">
        <v>113</v>
      </c>
      <c r="C47" t="s">
        <v>46</v>
      </c>
      <c r="D47" t="s">
        <v>24</v>
      </c>
      <c r="E47" t="s">
        <v>47</v>
      </c>
      <c r="F47" t="s">
        <v>150</v>
      </c>
      <c r="G47">
        <v>1</v>
      </c>
      <c r="H47" t="s">
        <v>151</v>
      </c>
      <c r="I47" t="s">
        <v>152</v>
      </c>
      <c r="K47" t="s">
        <v>42</v>
      </c>
      <c r="L47" t="s">
        <v>153</v>
      </c>
      <c r="M47">
        <v>1875000000</v>
      </c>
      <c r="N47">
        <v>1875000000</v>
      </c>
      <c r="O47">
        <v>562500000</v>
      </c>
      <c r="P47">
        <v>562500000</v>
      </c>
      <c r="Q47" s="1">
        <v>45534</v>
      </c>
      <c r="R47" s="1">
        <v>45534</v>
      </c>
      <c r="S47">
        <v>30</v>
      </c>
      <c r="X47">
        <v>562500000</v>
      </c>
      <c r="AC47">
        <v>562500000</v>
      </c>
    </row>
    <row r="48" spans="1:34" hidden="1" x14ac:dyDescent="0.45">
      <c r="A48">
        <v>7574</v>
      </c>
      <c r="B48" t="s">
        <v>113</v>
      </c>
      <c r="C48" t="s">
        <v>46</v>
      </c>
      <c r="D48" t="s">
        <v>24</v>
      </c>
      <c r="E48" t="s">
        <v>47</v>
      </c>
      <c r="F48" t="s">
        <v>150</v>
      </c>
      <c r="G48">
        <v>1</v>
      </c>
      <c r="H48" t="s">
        <v>151</v>
      </c>
      <c r="I48" t="s">
        <v>152</v>
      </c>
      <c r="K48" t="s">
        <v>42</v>
      </c>
      <c r="L48" t="s">
        <v>154</v>
      </c>
      <c r="M48">
        <v>1875000000</v>
      </c>
      <c r="N48">
        <v>1875000000</v>
      </c>
      <c r="O48">
        <v>562500000</v>
      </c>
      <c r="P48">
        <v>562500000</v>
      </c>
      <c r="Q48" s="1">
        <v>45534</v>
      </c>
      <c r="R48" s="1">
        <v>45565</v>
      </c>
      <c r="S48">
        <v>30</v>
      </c>
      <c r="X48">
        <v>562500000</v>
      </c>
      <c r="AC48">
        <v>562500000</v>
      </c>
    </row>
    <row r="49" spans="1:34" hidden="1" x14ac:dyDescent="0.45">
      <c r="A49">
        <v>7575</v>
      </c>
      <c r="B49" t="s">
        <v>113</v>
      </c>
      <c r="C49" t="s">
        <v>46</v>
      </c>
      <c r="D49" t="s">
        <v>24</v>
      </c>
      <c r="E49" t="s">
        <v>47</v>
      </c>
      <c r="F49" t="s">
        <v>150</v>
      </c>
      <c r="G49">
        <v>1</v>
      </c>
      <c r="H49" t="s">
        <v>151</v>
      </c>
      <c r="I49" t="s">
        <v>152</v>
      </c>
      <c r="K49" t="s">
        <v>42</v>
      </c>
      <c r="L49" t="s">
        <v>155</v>
      </c>
      <c r="M49">
        <v>1875000000</v>
      </c>
      <c r="N49">
        <v>1875000000</v>
      </c>
      <c r="O49">
        <v>562500000</v>
      </c>
      <c r="P49">
        <v>562500000</v>
      </c>
      <c r="Q49" s="1">
        <v>45534</v>
      </c>
      <c r="R49" s="1">
        <v>45596</v>
      </c>
      <c r="S49">
        <v>30</v>
      </c>
      <c r="X49">
        <v>562500000</v>
      </c>
      <c r="AC49">
        <v>562500000</v>
      </c>
    </row>
    <row r="50" spans="1:34" hidden="1" x14ac:dyDescent="0.45">
      <c r="A50">
        <v>7576</v>
      </c>
      <c r="B50" t="s">
        <v>113</v>
      </c>
      <c r="C50" t="s">
        <v>46</v>
      </c>
      <c r="D50" t="s">
        <v>24</v>
      </c>
      <c r="E50" t="s">
        <v>47</v>
      </c>
      <c r="F50" t="s">
        <v>150</v>
      </c>
      <c r="G50">
        <v>1</v>
      </c>
      <c r="H50" t="s">
        <v>151</v>
      </c>
      <c r="I50" t="s">
        <v>152</v>
      </c>
      <c r="K50" t="s">
        <v>42</v>
      </c>
      <c r="L50" t="s">
        <v>156</v>
      </c>
      <c r="M50">
        <v>1875000000</v>
      </c>
      <c r="N50">
        <v>1875000000</v>
      </c>
      <c r="O50">
        <v>562500000</v>
      </c>
      <c r="P50">
        <v>562500000</v>
      </c>
      <c r="Q50" s="1">
        <v>45534</v>
      </c>
      <c r="R50" s="1">
        <v>45625</v>
      </c>
      <c r="S50">
        <v>30</v>
      </c>
      <c r="X50">
        <v>562500000</v>
      </c>
      <c r="AC50">
        <v>562500000</v>
      </c>
    </row>
    <row r="51" spans="1:34" hidden="1" x14ac:dyDescent="0.45">
      <c r="A51">
        <v>7580</v>
      </c>
      <c r="B51" t="s">
        <v>45</v>
      </c>
      <c r="C51" t="s">
        <v>46</v>
      </c>
      <c r="D51" t="s">
        <v>24</v>
      </c>
      <c r="E51" t="s">
        <v>47</v>
      </c>
      <c r="F51" t="s">
        <v>157</v>
      </c>
      <c r="G51">
        <v>3</v>
      </c>
      <c r="H51" t="s">
        <v>158</v>
      </c>
      <c r="I51" t="s">
        <v>50</v>
      </c>
      <c r="K51" t="s">
        <v>146</v>
      </c>
      <c r="L51" t="s">
        <v>153</v>
      </c>
      <c r="M51">
        <v>145350000</v>
      </c>
      <c r="N51">
        <v>145350000</v>
      </c>
      <c r="O51">
        <v>43605000</v>
      </c>
      <c r="P51">
        <v>43605000</v>
      </c>
      <c r="Q51" s="1">
        <v>45471</v>
      </c>
      <c r="R51" s="1">
        <v>45540</v>
      </c>
      <c r="S51">
        <v>30</v>
      </c>
      <c r="Y51">
        <v>43605000</v>
      </c>
      <c r="AE51">
        <v>43605000</v>
      </c>
    </row>
    <row r="52" spans="1:34" hidden="1" x14ac:dyDescent="0.45">
      <c r="A52">
        <v>7581</v>
      </c>
      <c r="B52" t="s">
        <v>45</v>
      </c>
      <c r="C52" t="s">
        <v>46</v>
      </c>
      <c r="D52" t="s">
        <v>24</v>
      </c>
      <c r="E52" t="s">
        <v>47</v>
      </c>
      <c r="F52" t="s">
        <v>157</v>
      </c>
      <c r="G52">
        <v>3</v>
      </c>
      <c r="H52" t="s">
        <v>158</v>
      </c>
      <c r="I52" t="s">
        <v>50</v>
      </c>
      <c r="K52" t="s">
        <v>146</v>
      </c>
      <c r="L52" t="s">
        <v>154</v>
      </c>
      <c r="M52">
        <v>145350000</v>
      </c>
      <c r="N52">
        <v>145350000</v>
      </c>
      <c r="O52">
        <v>43605000</v>
      </c>
      <c r="P52">
        <v>43605000</v>
      </c>
      <c r="Q52" s="1">
        <v>45471</v>
      </c>
      <c r="R52" s="1">
        <v>45596</v>
      </c>
      <c r="S52">
        <v>30</v>
      </c>
      <c r="Y52">
        <v>43605000</v>
      </c>
      <c r="AE52">
        <v>43605000</v>
      </c>
    </row>
    <row r="53" spans="1:34" hidden="1" x14ac:dyDescent="0.45">
      <c r="A53">
        <v>7582</v>
      </c>
      <c r="B53" t="s">
        <v>45</v>
      </c>
      <c r="C53" t="s">
        <v>46</v>
      </c>
      <c r="D53" t="s">
        <v>24</v>
      </c>
      <c r="E53" t="s">
        <v>47</v>
      </c>
      <c r="F53" t="s">
        <v>157</v>
      </c>
      <c r="G53">
        <v>3</v>
      </c>
      <c r="H53" t="s">
        <v>158</v>
      </c>
      <c r="I53" t="s">
        <v>50</v>
      </c>
      <c r="K53" t="s">
        <v>146</v>
      </c>
      <c r="L53" t="s">
        <v>155</v>
      </c>
      <c r="M53">
        <v>145350000</v>
      </c>
      <c r="N53">
        <v>145350000</v>
      </c>
      <c r="O53">
        <v>43605000</v>
      </c>
      <c r="P53">
        <v>43605000</v>
      </c>
      <c r="Q53" s="1">
        <v>45471</v>
      </c>
      <c r="R53" s="1">
        <v>45631</v>
      </c>
      <c r="S53">
        <v>30</v>
      </c>
      <c r="Y53">
        <v>43605000</v>
      </c>
      <c r="AE53">
        <v>43605000</v>
      </c>
    </row>
    <row r="54" spans="1:34" hidden="1" x14ac:dyDescent="0.45">
      <c r="A54">
        <v>7583</v>
      </c>
      <c r="B54" t="s">
        <v>45</v>
      </c>
      <c r="C54" t="s">
        <v>46</v>
      </c>
      <c r="D54" t="s">
        <v>24</v>
      </c>
      <c r="E54" t="s">
        <v>47</v>
      </c>
      <c r="F54" t="s">
        <v>157</v>
      </c>
      <c r="G54">
        <v>3</v>
      </c>
      <c r="H54" t="s">
        <v>158</v>
      </c>
      <c r="I54" t="s">
        <v>50</v>
      </c>
      <c r="K54" t="s">
        <v>146</v>
      </c>
      <c r="L54" t="s">
        <v>156</v>
      </c>
      <c r="M54">
        <v>145350000</v>
      </c>
      <c r="N54">
        <v>145350000</v>
      </c>
      <c r="O54">
        <v>43605000</v>
      </c>
      <c r="P54">
        <v>43605000</v>
      </c>
      <c r="Q54" s="1">
        <v>45471</v>
      </c>
      <c r="R54" s="1">
        <v>45670</v>
      </c>
      <c r="S54">
        <v>30</v>
      </c>
      <c r="Y54">
        <v>43605000</v>
      </c>
      <c r="AE54">
        <v>43605000</v>
      </c>
    </row>
    <row r="55" spans="1:34" hidden="1" x14ac:dyDescent="0.45">
      <c r="A55">
        <v>8589</v>
      </c>
      <c r="B55" t="s">
        <v>58</v>
      </c>
      <c r="C55" t="s">
        <v>46</v>
      </c>
      <c r="D55" t="s">
        <v>24</v>
      </c>
      <c r="E55" t="s">
        <v>47</v>
      </c>
      <c r="F55" t="s">
        <v>159</v>
      </c>
      <c r="G55">
        <v>4</v>
      </c>
      <c r="H55" t="s">
        <v>160</v>
      </c>
      <c r="I55" t="s">
        <v>161</v>
      </c>
      <c r="K55" t="s">
        <v>51</v>
      </c>
      <c r="L55" t="s">
        <v>162</v>
      </c>
      <c r="M55">
        <v>200000000</v>
      </c>
      <c r="N55">
        <v>200000000</v>
      </c>
      <c r="O55">
        <v>140000000</v>
      </c>
      <c r="P55">
        <v>140000000</v>
      </c>
      <c r="Q55" s="1">
        <v>45394</v>
      </c>
      <c r="R55" s="1">
        <v>45504</v>
      </c>
      <c r="S55">
        <v>70</v>
      </c>
      <c r="X55">
        <v>140000000</v>
      </c>
      <c r="AC55">
        <v>140000000</v>
      </c>
    </row>
    <row r="56" spans="1:34" hidden="1" x14ac:dyDescent="0.45">
      <c r="A56">
        <v>8593</v>
      </c>
      <c r="B56" t="s">
        <v>58</v>
      </c>
      <c r="C56" t="s">
        <v>46</v>
      </c>
      <c r="D56" t="s">
        <v>24</v>
      </c>
      <c r="E56" t="s">
        <v>47</v>
      </c>
      <c r="F56" t="s">
        <v>163</v>
      </c>
      <c r="G56">
        <v>3</v>
      </c>
      <c r="H56" t="s">
        <v>164</v>
      </c>
      <c r="I56" t="s">
        <v>165</v>
      </c>
      <c r="K56" t="s">
        <v>146</v>
      </c>
      <c r="L56" t="s">
        <v>166</v>
      </c>
      <c r="M56">
        <v>1000000000</v>
      </c>
      <c r="N56">
        <v>300000000</v>
      </c>
      <c r="O56">
        <v>400000000</v>
      </c>
      <c r="P56">
        <v>120000000</v>
      </c>
      <c r="Q56" s="1">
        <v>45626</v>
      </c>
      <c r="R56" s="1">
        <v>45596</v>
      </c>
      <c r="S56">
        <v>40</v>
      </c>
      <c r="X56">
        <v>120000000</v>
      </c>
      <c r="AC56">
        <v>120000000</v>
      </c>
    </row>
    <row r="57" spans="1:34" hidden="1" x14ac:dyDescent="0.45">
      <c r="A57">
        <v>8602</v>
      </c>
      <c r="B57" t="s">
        <v>88</v>
      </c>
      <c r="C57" t="s">
        <v>46</v>
      </c>
      <c r="D57" t="s">
        <v>24</v>
      </c>
      <c r="E57" t="s">
        <v>47</v>
      </c>
      <c r="F57" t="s">
        <v>167</v>
      </c>
      <c r="G57">
        <v>2</v>
      </c>
      <c r="H57" t="s">
        <v>168</v>
      </c>
      <c r="I57" t="s">
        <v>169</v>
      </c>
      <c r="K57" t="s">
        <v>66</v>
      </c>
      <c r="L57" t="s">
        <v>170</v>
      </c>
      <c r="M57">
        <v>100000000</v>
      </c>
      <c r="N57">
        <v>100000000</v>
      </c>
      <c r="O57">
        <v>30000000</v>
      </c>
      <c r="P57">
        <v>30000000</v>
      </c>
      <c r="Q57" s="1">
        <v>45566</v>
      </c>
      <c r="R57" s="1">
        <v>45597</v>
      </c>
      <c r="S57">
        <v>30</v>
      </c>
      <c r="X57">
        <v>30000000</v>
      </c>
      <c r="AC57">
        <v>30000000</v>
      </c>
    </row>
    <row r="58" spans="1:34" hidden="1" x14ac:dyDescent="0.45">
      <c r="A58">
        <v>8603</v>
      </c>
      <c r="B58" t="s">
        <v>88</v>
      </c>
      <c r="C58" t="s">
        <v>46</v>
      </c>
      <c r="D58" t="s">
        <v>24</v>
      </c>
      <c r="E58" t="s">
        <v>47</v>
      </c>
      <c r="F58" t="s">
        <v>171</v>
      </c>
      <c r="G58">
        <v>2</v>
      </c>
      <c r="H58" t="s">
        <v>172</v>
      </c>
      <c r="I58" t="s">
        <v>169</v>
      </c>
      <c r="K58" t="s">
        <v>66</v>
      </c>
      <c r="L58" t="s">
        <v>108</v>
      </c>
      <c r="M58">
        <v>23000000</v>
      </c>
      <c r="N58">
        <v>23000000</v>
      </c>
      <c r="O58">
        <v>6900000</v>
      </c>
      <c r="P58">
        <v>6900000</v>
      </c>
      <c r="Q58" s="1">
        <v>45566</v>
      </c>
      <c r="R58" s="1">
        <v>45596</v>
      </c>
      <c r="S58">
        <v>30</v>
      </c>
      <c r="X58">
        <v>6900000</v>
      </c>
      <c r="AC58">
        <v>6900000</v>
      </c>
    </row>
    <row r="59" spans="1:34" hidden="1" x14ac:dyDescent="0.45">
      <c r="A59">
        <v>8605</v>
      </c>
      <c r="B59" t="s">
        <v>88</v>
      </c>
      <c r="C59" t="s">
        <v>46</v>
      </c>
      <c r="D59" t="s">
        <v>24</v>
      </c>
      <c r="E59" t="s">
        <v>47</v>
      </c>
      <c r="F59" t="s">
        <v>173</v>
      </c>
      <c r="G59">
        <v>2</v>
      </c>
      <c r="H59" t="s">
        <v>174</v>
      </c>
      <c r="I59" t="s">
        <v>169</v>
      </c>
      <c r="K59" t="s">
        <v>66</v>
      </c>
      <c r="L59" t="s">
        <v>108</v>
      </c>
      <c r="M59">
        <v>100870000</v>
      </c>
      <c r="N59">
        <v>100870000</v>
      </c>
      <c r="O59">
        <v>30261000</v>
      </c>
      <c r="P59">
        <v>30261000</v>
      </c>
      <c r="Q59" s="1">
        <v>45412</v>
      </c>
      <c r="R59" s="1">
        <v>45596</v>
      </c>
      <c r="S59">
        <v>30</v>
      </c>
      <c r="X59">
        <v>30261000</v>
      </c>
      <c r="AC59">
        <v>30261000</v>
      </c>
    </row>
    <row r="60" spans="1:34" hidden="1" x14ac:dyDescent="0.45">
      <c r="A60">
        <v>8606</v>
      </c>
      <c r="B60" t="s">
        <v>88</v>
      </c>
      <c r="C60" t="s">
        <v>46</v>
      </c>
      <c r="D60" t="s">
        <v>24</v>
      </c>
      <c r="E60" t="s">
        <v>47</v>
      </c>
      <c r="F60" t="s">
        <v>175</v>
      </c>
      <c r="G60">
        <v>2</v>
      </c>
      <c r="H60" t="s">
        <v>176</v>
      </c>
      <c r="I60" t="s">
        <v>169</v>
      </c>
      <c r="K60" t="s">
        <v>66</v>
      </c>
      <c r="L60" t="s">
        <v>108</v>
      </c>
      <c r="M60">
        <v>58520000</v>
      </c>
      <c r="N60">
        <v>58520000</v>
      </c>
      <c r="O60">
        <v>17556000</v>
      </c>
      <c r="P60">
        <v>17556000</v>
      </c>
      <c r="Q60" s="1">
        <v>45566</v>
      </c>
      <c r="R60" s="1">
        <v>45596</v>
      </c>
      <c r="S60">
        <v>30</v>
      </c>
      <c r="X60">
        <v>17556000</v>
      </c>
      <c r="AC60">
        <v>17556000</v>
      </c>
    </row>
    <row r="61" spans="1:34" hidden="1" x14ac:dyDescent="0.45">
      <c r="A61">
        <v>8607</v>
      </c>
      <c r="B61" t="s">
        <v>88</v>
      </c>
      <c r="C61" t="s">
        <v>46</v>
      </c>
      <c r="D61" t="s">
        <v>24</v>
      </c>
      <c r="E61" t="s">
        <v>47</v>
      </c>
      <c r="F61" t="s">
        <v>177</v>
      </c>
      <c r="G61">
        <v>2</v>
      </c>
      <c r="H61" t="s">
        <v>178</v>
      </c>
      <c r="I61" t="s">
        <v>169</v>
      </c>
      <c r="K61" t="s">
        <v>66</v>
      </c>
      <c r="L61" t="s">
        <v>108</v>
      </c>
      <c r="M61">
        <v>36190000</v>
      </c>
      <c r="N61">
        <v>36190000</v>
      </c>
      <c r="O61">
        <v>10857000</v>
      </c>
      <c r="P61">
        <v>10857000</v>
      </c>
      <c r="Q61" s="1">
        <v>45566</v>
      </c>
      <c r="R61" s="1">
        <v>45596</v>
      </c>
      <c r="S61">
        <v>30</v>
      </c>
      <c r="X61">
        <v>10857000</v>
      </c>
      <c r="AC61">
        <v>10857000</v>
      </c>
    </row>
    <row r="62" spans="1:34" hidden="1" x14ac:dyDescent="0.45">
      <c r="A62">
        <v>8618</v>
      </c>
      <c r="B62" t="s">
        <v>121</v>
      </c>
      <c r="C62" t="s">
        <v>36</v>
      </c>
      <c r="D62" t="s">
        <v>37</v>
      </c>
      <c r="E62" t="s">
        <v>38</v>
      </c>
      <c r="F62" t="s">
        <v>179</v>
      </c>
      <c r="G62">
        <v>1</v>
      </c>
      <c r="H62" t="s">
        <v>180</v>
      </c>
      <c r="I62" t="s">
        <v>181</v>
      </c>
      <c r="K62" t="s">
        <v>42</v>
      </c>
      <c r="L62" t="s">
        <v>102</v>
      </c>
      <c r="M62">
        <v>150000000</v>
      </c>
      <c r="N62">
        <v>150000000</v>
      </c>
      <c r="O62">
        <v>75000000</v>
      </c>
      <c r="P62">
        <v>75000000</v>
      </c>
      <c r="Q62" s="1">
        <v>45327</v>
      </c>
      <c r="R62" s="1">
        <v>45334</v>
      </c>
      <c r="S62">
        <v>50</v>
      </c>
      <c r="V62">
        <v>75000000</v>
      </c>
      <c r="AH62">
        <v>75000000</v>
      </c>
    </row>
    <row r="63" spans="1:34" hidden="1" x14ac:dyDescent="0.45">
      <c r="A63">
        <v>8620</v>
      </c>
      <c r="B63" t="s">
        <v>35</v>
      </c>
      <c r="C63" t="s">
        <v>36</v>
      </c>
      <c r="D63" t="s">
        <v>37</v>
      </c>
      <c r="E63" t="s">
        <v>38</v>
      </c>
      <c r="F63" t="s">
        <v>182</v>
      </c>
      <c r="G63">
        <v>1</v>
      </c>
      <c r="H63" t="s">
        <v>183</v>
      </c>
      <c r="I63" t="s">
        <v>184</v>
      </c>
      <c r="K63" t="s">
        <v>42</v>
      </c>
      <c r="L63" t="s">
        <v>185</v>
      </c>
      <c r="M63">
        <v>150000000</v>
      </c>
      <c r="N63">
        <v>50000000</v>
      </c>
      <c r="O63">
        <v>75000000</v>
      </c>
      <c r="P63">
        <v>25000000</v>
      </c>
      <c r="Q63" s="1">
        <v>45345</v>
      </c>
      <c r="R63" s="1">
        <v>45345</v>
      </c>
      <c r="S63">
        <v>50</v>
      </c>
      <c r="V63">
        <v>25000000</v>
      </c>
      <c r="AH63">
        <v>25000000</v>
      </c>
    </row>
    <row r="64" spans="1:34" hidden="1" x14ac:dyDescent="0.45">
      <c r="A64">
        <v>8621</v>
      </c>
      <c r="B64" t="s">
        <v>35</v>
      </c>
      <c r="C64" t="s">
        <v>36</v>
      </c>
      <c r="D64" t="s">
        <v>37</v>
      </c>
      <c r="E64" t="s">
        <v>38</v>
      </c>
      <c r="F64" t="s">
        <v>186</v>
      </c>
      <c r="G64">
        <v>2</v>
      </c>
      <c r="H64" t="s">
        <v>187</v>
      </c>
      <c r="I64" t="s">
        <v>188</v>
      </c>
      <c r="K64" t="s">
        <v>66</v>
      </c>
      <c r="L64" t="s">
        <v>185</v>
      </c>
      <c r="M64">
        <v>120000000</v>
      </c>
      <c r="N64">
        <v>50000000</v>
      </c>
      <c r="O64">
        <v>60000000</v>
      </c>
      <c r="P64">
        <v>25000000</v>
      </c>
      <c r="Q64" s="1">
        <v>45345</v>
      </c>
      <c r="R64" s="1">
        <v>45345</v>
      </c>
      <c r="S64">
        <v>50</v>
      </c>
      <c r="V64">
        <v>25000000</v>
      </c>
      <c r="AH64">
        <v>25000000</v>
      </c>
    </row>
    <row r="65" spans="1:36" hidden="1" x14ac:dyDescent="0.45">
      <c r="A65">
        <v>8623</v>
      </c>
      <c r="B65" t="s">
        <v>45</v>
      </c>
      <c r="C65" t="s">
        <v>46</v>
      </c>
      <c r="D65" t="s">
        <v>24</v>
      </c>
      <c r="E65" t="s">
        <v>47</v>
      </c>
      <c r="F65" t="s">
        <v>189</v>
      </c>
      <c r="G65">
        <v>4</v>
      </c>
      <c r="H65" t="s">
        <v>190</v>
      </c>
      <c r="I65" t="s">
        <v>191</v>
      </c>
      <c r="K65" t="s">
        <v>51</v>
      </c>
      <c r="L65" t="s">
        <v>192</v>
      </c>
      <c r="M65">
        <v>750000000</v>
      </c>
      <c r="N65">
        <v>250000000</v>
      </c>
      <c r="O65">
        <v>225000000</v>
      </c>
      <c r="P65">
        <v>75000000</v>
      </c>
      <c r="Q65" s="1">
        <v>45716</v>
      </c>
      <c r="R65" s="1">
        <v>45777</v>
      </c>
      <c r="S65">
        <v>30</v>
      </c>
      <c r="V65">
        <v>75000000</v>
      </c>
      <c r="AD65">
        <v>75000000</v>
      </c>
    </row>
    <row r="66" spans="1:36" hidden="1" x14ac:dyDescent="0.45">
      <c r="A66">
        <v>8634</v>
      </c>
      <c r="B66" t="s">
        <v>35</v>
      </c>
      <c r="C66" t="s">
        <v>36</v>
      </c>
      <c r="D66" t="s">
        <v>37</v>
      </c>
      <c r="E66" t="s">
        <v>38</v>
      </c>
      <c r="F66" t="s">
        <v>193</v>
      </c>
      <c r="G66">
        <v>1</v>
      </c>
      <c r="H66" t="s">
        <v>194</v>
      </c>
      <c r="I66" t="s">
        <v>195</v>
      </c>
      <c r="K66" t="s">
        <v>42</v>
      </c>
      <c r="L66" t="s">
        <v>196</v>
      </c>
      <c r="M66">
        <v>250000000</v>
      </c>
      <c r="N66">
        <v>250000000</v>
      </c>
      <c r="O66">
        <v>125000000</v>
      </c>
      <c r="P66">
        <v>125000000</v>
      </c>
      <c r="Q66" s="1">
        <v>45499</v>
      </c>
      <c r="R66" s="1">
        <v>45499</v>
      </c>
      <c r="S66">
        <v>50</v>
      </c>
      <c r="X66">
        <v>125000000</v>
      </c>
      <c r="AH66">
        <v>125000000</v>
      </c>
    </row>
    <row r="67" spans="1:36" hidden="1" x14ac:dyDescent="0.45">
      <c r="A67">
        <v>8635</v>
      </c>
      <c r="B67" t="s">
        <v>35</v>
      </c>
      <c r="C67" t="s">
        <v>36</v>
      </c>
      <c r="D67" t="s">
        <v>37</v>
      </c>
      <c r="E67" t="s">
        <v>38</v>
      </c>
      <c r="F67" t="s">
        <v>193</v>
      </c>
      <c r="G67">
        <v>1</v>
      </c>
      <c r="H67" t="s">
        <v>194</v>
      </c>
      <c r="I67" t="s">
        <v>195</v>
      </c>
      <c r="K67" t="s">
        <v>42</v>
      </c>
      <c r="L67" t="s">
        <v>44</v>
      </c>
      <c r="M67">
        <v>250000000</v>
      </c>
      <c r="N67">
        <v>250000000</v>
      </c>
      <c r="O67">
        <v>125000000</v>
      </c>
      <c r="P67">
        <v>125000000</v>
      </c>
      <c r="Q67" s="1">
        <v>45499</v>
      </c>
      <c r="R67" s="1">
        <v>45828</v>
      </c>
      <c r="S67">
        <v>50</v>
      </c>
      <c r="X67">
        <v>125000000</v>
      </c>
      <c r="AH67">
        <v>125000000</v>
      </c>
    </row>
    <row r="68" spans="1:36" hidden="1" x14ac:dyDescent="0.45">
      <c r="A68">
        <v>9644</v>
      </c>
      <c r="B68" t="s">
        <v>45</v>
      </c>
      <c r="C68" t="s">
        <v>46</v>
      </c>
      <c r="D68" t="s">
        <v>24</v>
      </c>
      <c r="E68" t="s">
        <v>47</v>
      </c>
      <c r="F68" t="s">
        <v>197</v>
      </c>
      <c r="G68">
        <v>4</v>
      </c>
      <c r="H68" t="s">
        <v>198</v>
      </c>
      <c r="I68" t="s">
        <v>199</v>
      </c>
      <c r="K68" t="s">
        <v>51</v>
      </c>
      <c r="L68" t="s">
        <v>102</v>
      </c>
      <c r="M68">
        <v>100000000</v>
      </c>
      <c r="N68">
        <v>100000000</v>
      </c>
      <c r="O68">
        <v>100000000</v>
      </c>
      <c r="P68">
        <v>100000000</v>
      </c>
      <c r="Q68" s="1">
        <v>45562</v>
      </c>
      <c r="R68" s="1">
        <v>45338</v>
      </c>
      <c r="S68">
        <v>100</v>
      </c>
      <c r="Y68">
        <v>100000000</v>
      </c>
      <c r="AE68">
        <v>100000000</v>
      </c>
    </row>
    <row r="69" spans="1:36" hidden="1" x14ac:dyDescent="0.45">
      <c r="A69">
        <v>9649</v>
      </c>
      <c r="B69" t="s">
        <v>45</v>
      </c>
      <c r="C69" t="s">
        <v>46</v>
      </c>
      <c r="D69" t="s">
        <v>24</v>
      </c>
      <c r="E69" t="s">
        <v>47</v>
      </c>
      <c r="F69" t="s">
        <v>200</v>
      </c>
      <c r="G69">
        <v>4</v>
      </c>
      <c r="H69" t="s">
        <v>201</v>
      </c>
      <c r="I69" t="s">
        <v>191</v>
      </c>
      <c r="K69" t="s">
        <v>51</v>
      </c>
      <c r="L69" t="s">
        <v>202</v>
      </c>
      <c r="M69">
        <v>120000000</v>
      </c>
      <c r="N69">
        <v>120000000</v>
      </c>
      <c r="O69">
        <v>108000000</v>
      </c>
      <c r="P69">
        <v>108000000</v>
      </c>
      <c r="Q69" s="1">
        <v>45565</v>
      </c>
      <c r="R69" s="1">
        <v>45596</v>
      </c>
      <c r="S69">
        <v>90</v>
      </c>
      <c r="X69">
        <v>108000000</v>
      </c>
      <c r="AD69">
        <v>108000000</v>
      </c>
    </row>
    <row r="70" spans="1:36" hidden="1" x14ac:dyDescent="0.45">
      <c r="A70">
        <v>9650</v>
      </c>
      <c r="B70" t="s">
        <v>45</v>
      </c>
      <c r="C70" t="s">
        <v>46</v>
      </c>
      <c r="D70" t="s">
        <v>24</v>
      </c>
      <c r="E70" t="s">
        <v>47</v>
      </c>
      <c r="F70" t="s">
        <v>203</v>
      </c>
      <c r="G70">
        <v>4</v>
      </c>
      <c r="H70" t="s">
        <v>204</v>
      </c>
      <c r="I70" t="s">
        <v>205</v>
      </c>
      <c r="K70" t="s">
        <v>51</v>
      </c>
      <c r="L70" t="s">
        <v>206</v>
      </c>
      <c r="M70">
        <v>1000000000</v>
      </c>
      <c r="N70">
        <v>1000000000</v>
      </c>
      <c r="O70">
        <v>600000000</v>
      </c>
      <c r="P70">
        <v>600000000</v>
      </c>
      <c r="Q70" s="1">
        <v>45473</v>
      </c>
      <c r="R70" s="1">
        <v>45535</v>
      </c>
      <c r="S70">
        <v>60</v>
      </c>
      <c r="X70">
        <v>600000000</v>
      </c>
      <c r="AB70">
        <v>600000000</v>
      </c>
    </row>
    <row r="71" spans="1:36" hidden="1" x14ac:dyDescent="0.45">
      <c r="A71">
        <v>9652</v>
      </c>
      <c r="B71" t="s">
        <v>88</v>
      </c>
      <c r="C71" t="s">
        <v>46</v>
      </c>
      <c r="D71" t="s">
        <v>24</v>
      </c>
      <c r="E71" t="s">
        <v>47</v>
      </c>
      <c r="F71" t="s">
        <v>207</v>
      </c>
      <c r="G71">
        <v>5</v>
      </c>
      <c r="H71" t="s">
        <v>208</v>
      </c>
      <c r="I71" t="s">
        <v>209</v>
      </c>
      <c r="K71" t="s">
        <v>210</v>
      </c>
      <c r="L71" t="s">
        <v>211</v>
      </c>
      <c r="M71">
        <v>180000000</v>
      </c>
      <c r="N71">
        <v>180000000</v>
      </c>
      <c r="O71">
        <v>144000000</v>
      </c>
      <c r="P71">
        <v>144000000</v>
      </c>
      <c r="Q71" s="1">
        <v>45444</v>
      </c>
      <c r="R71" s="1">
        <v>45473</v>
      </c>
      <c r="S71">
        <v>80</v>
      </c>
      <c r="Y71">
        <v>144000000</v>
      </c>
      <c r="AE71">
        <v>144000000</v>
      </c>
    </row>
    <row r="72" spans="1:36" hidden="1" x14ac:dyDescent="0.45">
      <c r="A72">
        <v>9679</v>
      </c>
      <c r="B72" t="s">
        <v>121</v>
      </c>
      <c r="C72" t="s">
        <v>36</v>
      </c>
      <c r="D72" t="s">
        <v>37</v>
      </c>
      <c r="E72" t="s">
        <v>38</v>
      </c>
      <c r="F72" t="s">
        <v>212</v>
      </c>
      <c r="G72">
        <v>4</v>
      </c>
      <c r="H72" t="s">
        <v>213</v>
      </c>
      <c r="I72" t="s">
        <v>181</v>
      </c>
      <c r="K72" t="s">
        <v>51</v>
      </c>
      <c r="L72" t="s">
        <v>102</v>
      </c>
      <c r="M72">
        <v>200000000</v>
      </c>
      <c r="N72">
        <v>100000000</v>
      </c>
      <c r="O72">
        <v>100000000</v>
      </c>
      <c r="P72">
        <v>50000000</v>
      </c>
      <c r="Q72" s="1">
        <v>45412</v>
      </c>
      <c r="R72" s="1">
        <v>45422</v>
      </c>
      <c r="S72">
        <v>50</v>
      </c>
      <c r="V72">
        <v>50000000</v>
      </c>
      <c r="AH72">
        <v>50000000</v>
      </c>
    </row>
    <row r="73" spans="1:36" hidden="1" x14ac:dyDescent="0.45">
      <c r="A73">
        <v>9680</v>
      </c>
      <c r="B73" t="s">
        <v>45</v>
      </c>
      <c r="C73" t="s">
        <v>46</v>
      </c>
      <c r="D73" t="s">
        <v>24</v>
      </c>
      <c r="E73" t="s">
        <v>47</v>
      </c>
      <c r="F73" t="s">
        <v>214</v>
      </c>
      <c r="G73">
        <v>3</v>
      </c>
      <c r="H73" t="s">
        <v>215</v>
      </c>
      <c r="I73" t="s">
        <v>191</v>
      </c>
      <c r="K73" t="s">
        <v>146</v>
      </c>
      <c r="L73" t="s">
        <v>216</v>
      </c>
      <c r="M73">
        <v>745000000</v>
      </c>
      <c r="N73">
        <v>149000000</v>
      </c>
      <c r="O73">
        <v>223500000</v>
      </c>
      <c r="P73">
        <v>44700000</v>
      </c>
      <c r="Q73" s="1">
        <v>45657</v>
      </c>
      <c r="R73" s="1">
        <v>45688</v>
      </c>
      <c r="S73">
        <v>30</v>
      </c>
      <c r="X73">
        <v>44700000</v>
      </c>
      <c r="AD73">
        <v>44700000</v>
      </c>
    </row>
    <row r="74" spans="1:36" hidden="1" x14ac:dyDescent="0.45">
      <c r="A74">
        <v>9687</v>
      </c>
      <c r="B74" t="s">
        <v>121</v>
      </c>
      <c r="C74" t="s">
        <v>36</v>
      </c>
      <c r="D74" t="s">
        <v>37</v>
      </c>
      <c r="E74" t="s">
        <v>38</v>
      </c>
      <c r="F74" t="s">
        <v>217</v>
      </c>
      <c r="G74">
        <v>1</v>
      </c>
      <c r="H74" t="s">
        <v>218</v>
      </c>
      <c r="I74" t="s">
        <v>219</v>
      </c>
      <c r="K74" t="s">
        <v>42</v>
      </c>
      <c r="L74" t="s">
        <v>220</v>
      </c>
      <c r="M74">
        <v>50000000</v>
      </c>
      <c r="N74">
        <v>50000000</v>
      </c>
      <c r="O74">
        <v>25000000</v>
      </c>
      <c r="P74">
        <v>25000000</v>
      </c>
      <c r="Q74" s="1">
        <v>45355</v>
      </c>
      <c r="R74" s="1">
        <v>45418</v>
      </c>
      <c r="S74">
        <v>50</v>
      </c>
      <c r="X74">
        <v>25000000</v>
      </c>
      <c r="AH74">
        <v>25000000</v>
      </c>
    </row>
    <row r="75" spans="1:36" hidden="1" x14ac:dyDescent="0.45">
      <c r="A75">
        <v>9688</v>
      </c>
      <c r="B75" t="s">
        <v>121</v>
      </c>
      <c r="C75" t="s">
        <v>36</v>
      </c>
      <c r="D75" t="s">
        <v>37</v>
      </c>
      <c r="E75" t="s">
        <v>38</v>
      </c>
      <c r="F75" t="s">
        <v>217</v>
      </c>
      <c r="G75">
        <v>1</v>
      </c>
      <c r="H75" t="s">
        <v>218</v>
      </c>
      <c r="I75" t="s">
        <v>219</v>
      </c>
      <c r="K75" t="s">
        <v>42</v>
      </c>
      <c r="L75" t="s">
        <v>221</v>
      </c>
      <c r="M75">
        <v>50000000</v>
      </c>
      <c r="N75">
        <v>50000000</v>
      </c>
      <c r="O75">
        <v>25000000</v>
      </c>
      <c r="P75">
        <v>25000000</v>
      </c>
      <c r="Q75" s="1">
        <v>45355</v>
      </c>
      <c r="R75" s="1">
        <v>45376</v>
      </c>
      <c r="S75">
        <v>50</v>
      </c>
      <c r="X75">
        <v>25000000</v>
      </c>
      <c r="AH75">
        <v>25000000</v>
      </c>
    </row>
    <row r="76" spans="1:36" hidden="1" x14ac:dyDescent="0.45">
      <c r="A76">
        <v>9724</v>
      </c>
      <c r="B76" t="s">
        <v>35</v>
      </c>
      <c r="C76" t="s">
        <v>36</v>
      </c>
      <c r="D76" t="s">
        <v>37</v>
      </c>
      <c r="E76" t="s">
        <v>38</v>
      </c>
      <c r="F76" t="s">
        <v>222</v>
      </c>
      <c r="G76">
        <v>1</v>
      </c>
      <c r="H76" t="s">
        <v>223</v>
      </c>
      <c r="I76" t="s">
        <v>224</v>
      </c>
      <c r="K76" t="s">
        <v>42</v>
      </c>
      <c r="L76" t="s">
        <v>225</v>
      </c>
      <c r="M76">
        <v>150000000</v>
      </c>
      <c r="N76">
        <v>20000000</v>
      </c>
      <c r="O76">
        <v>150000000</v>
      </c>
      <c r="P76">
        <v>20000000</v>
      </c>
      <c r="Q76" s="1">
        <v>45373</v>
      </c>
      <c r="R76" s="1">
        <v>45380</v>
      </c>
      <c r="S76">
        <v>100</v>
      </c>
      <c r="V76">
        <v>20000000</v>
      </c>
      <c r="AH76">
        <v>20000000</v>
      </c>
    </row>
    <row r="77" spans="1:36" hidden="1" x14ac:dyDescent="0.45">
      <c r="A77">
        <v>9725</v>
      </c>
      <c r="B77" t="s">
        <v>35</v>
      </c>
      <c r="C77" t="s">
        <v>36</v>
      </c>
      <c r="D77" t="s">
        <v>37</v>
      </c>
      <c r="E77" t="s">
        <v>38</v>
      </c>
      <c r="F77" t="s">
        <v>226</v>
      </c>
      <c r="G77">
        <v>3</v>
      </c>
      <c r="H77" t="s">
        <v>227</v>
      </c>
      <c r="I77" t="s">
        <v>228</v>
      </c>
      <c r="K77" t="s">
        <v>146</v>
      </c>
      <c r="L77" t="s">
        <v>43</v>
      </c>
      <c r="M77">
        <v>30000000</v>
      </c>
      <c r="N77">
        <v>30000000</v>
      </c>
      <c r="O77">
        <v>30000000</v>
      </c>
      <c r="P77">
        <v>30000000</v>
      </c>
      <c r="Q77" s="1">
        <v>45351</v>
      </c>
      <c r="R77" s="1">
        <v>45345</v>
      </c>
      <c r="S77">
        <v>100</v>
      </c>
      <c r="X77">
        <v>30000000</v>
      </c>
      <c r="AH77">
        <v>30000000</v>
      </c>
    </row>
    <row r="78" spans="1:36" hidden="1" x14ac:dyDescent="0.45">
      <c r="A78">
        <v>9726</v>
      </c>
      <c r="B78" t="s">
        <v>35</v>
      </c>
      <c r="C78" t="s">
        <v>36</v>
      </c>
      <c r="D78" t="s">
        <v>37</v>
      </c>
      <c r="E78" t="s">
        <v>38</v>
      </c>
      <c r="F78" t="s">
        <v>226</v>
      </c>
      <c r="G78">
        <v>3</v>
      </c>
      <c r="H78" t="s">
        <v>227</v>
      </c>
      <c r="I78" t="s">
        <v>228</v>
      </c>
      <c r="K78" t="s">
        <v>146</v>
      </c>
      <c r="L78" t="s">
        <v>44</v>
      </c>
      <c r="M78">
        <v>30000000</v>
      </c>
      <c r="N78">
        <v>30000000</v>
      </c>
      <c r="O78">
        <v>30000000</v>
      </c>
      <c r="P78">
        <v>30000000</v>
      </c>
      <c r="Q78" s="1">
        <v>45351</v>
      </c>
      <c r="R78" s="1">
        <v>45436</v>
      </c>
      <c r="S78">
        <v>100</v>
      </c>
      <c r="X78">
        <v>30000000</v>
      </c>
      <c r="AH78">
        <v>30000000</v>
      </c>
    </row>
    <row r="79" spans="1:36" hidden="1" x14ac:dyDescent="0.45">
      <c r="A79">
        <v>9728</v>
      </c>
      <c r="B79" t="s">
        <v>113</v>
      </c>
      <c r="C79" t="s">
        <v>46</v>
      </c>
      <c r="D79" t="s">
        <v>24</v>
      </c>
      <c r="E79" t="s">
        <v>47</v>
      </c>
      <c r="F79" t="s">
        <v>229</v>
      </c>
      <c r="G79">
        <v>3</v>
      </c>
      <c r="H79" t="s">
        <v>230</v>
      </c>
      <c r="I79" t="s">
        <v>145</v>
      </c>
      <c r="K79" t="s">
        <v>146</v>
      </c>
      <c r="L79" t="s">
        <v>231</v>
      </c>
      <c r="M79">
        <v>1626980104</v>
      </c>
      <c r="N79">
        <v>432311944</v>
      </c>
      <c r="O79">
        <v>1138886072.8</v>
      </c>
      <c r="P79">
        <v>302618360.80000001</v>
      </c>
      <c r="Q79" s="1">
        <v>45524</v>
      </c>
      <c r="R79" s="1">
        <v>45585</v>
      </c>
      <c r="S79">
        <v>70</v>
      </c>
      <c r="V79">
        <v>302618360.80000001</v>
      </c>
      <c r="AJ79">
        <v>302618360.80000001</v>
      </c>
    </row>
    <row r="80" spans="1:36" hidden="1" x14ac:dyDescent="0.45">
      <c r="A80">
        <v>9729</v>
      </c>
      <c r="B80" t="s">
        <v>113</v>
      </c>
      <c r="C80" t="s">
        <v>46</v>
      </c>
      <c r="D80" t="s">
        <v>24</v>
      </c>
      <c r="E80" t="s">
        <v>47</v>
      </c>
      <c r="F80" t="s">
        <v>232</v>
      </c>
      <c r="G80">
        <v>3</v>
      </c>
      <c r="H80" t="s">
        <v>233</v>
      </c>
      <c r="I80" t="s">
        <v>145</v>
      </c>
      <c r="K80" t="s">
        <v>146</v>
      </c>
      <c r="L80" t="s">
        <v>234</v>
      </c>
      <c r="M80">
        <v>2158171679</v>
      </c>
      <c r="N80">
        <v>627367096</v>
      </c>
      <c r="O80">
        <v>1510720175.3</v>
      </c>
      <c r="P80">
        <v>439156967.19999999</v>
      </c>
      <c r="Q80" s="1">
        <v>45524</v>
      </c>
      <c r="R80" s="1">
        <v>45585</v>
      </c>
      <c r="S80">
        <v>70</v>
      </c>
      <c r="V80">
        <v>439156967.19999999</v>
      </c>
      <c r="AJ80">
        <v>439156967.19999999</v>
      </c>
    </row>
    <row r="81" spans="1:34" hidden="1" x14ac:dyDescent="0.45">
      <c r="A81">
        <v>9735</v>
      </c>
      <c r="B81" t="s">
        <v>121</v>
      </c>
      <c r="C81" t="s">
        <v>36</v>
      </c>
      <c r="D81" t="s">
        <v>37</v>
      </c>
      <c r="E81" t="s">
        <v>38</v>
      </c>
      <c r="F81" t="s">
        <v>235</v>
      </c>
      <c r="G81">
        <v>2</v>
      </c>
      <c r="H81" t="s">
        <v>236</v>
      </c>
      <c r="I81" t="s">
        <v>237</v>
      </c>
      <c r="K81" t="s">
        <v>66</v>
      </c>
      <c r="L81" t="s">
        <v>220</v>
      </c>
      <c r="M81">
        <v>50000000</v>
      </c>
      <c r="N81">
        <v>50000000</v>
      </c>
      <c r="O81">
        <v>25000000</v>
      </c>
      <c r="P81">
        <v>25000000</v>
      </c>
      <c r="Q81" s="1">
        <v>45345</v>
      </c>
      <c r="R81" s="1">
        <v>45349</v>
      </c>
      <c r="S81">
        <v>50</v>
      </c>
      <c r="X81">
        <v>25000000</v>
      </c>
      <c r="AH81">
        <v>25000000</v>
      </c>
    </row>
    <row r="82" spans="1:34" hidden="1" x14ac:dyDescent="0.45">
      <c r="A82">
        <v>9736</v>
      </c>
      <c r="B82" t="s">
        <v>121</v>
      </c>
      <c r="C82" t="s">
        <v>36</v>
      </c>
      <c r="D82" t="s">
        <v>37</v>
      </c>
      <c r="E82" t="s">
        <v>38</v>
      </c>
      <c r="F82" t="s">
        <v>235</v>
      </c>
      <c r="G82">
        <v>2</v>
      </c>
      <c r="H82" t="s">
        <v>236</v>
      </c>
      <c r="I82" t="s">
        <v>237</v>
      </c>
      <c r="K82" t="s">
        <v>66</v>
      </c>
      <c r="L82" t="s">
        <v>221</v>
      </c>
      <c r="M82">
        <v>50000000</v>
      </c>
      <c r="N82">
        <v>50000000</v>
      </c>
      <c r="O82">
        <v>25000000</v>
      </c>
      <c r="P82">
        <v>25000000</v>
      </c>
      <c r="Q82" s="1">
        <v>45345</v>
      </c>
      <c r="R82" s="1">
        <v>45371</v>
      </c>
      <c r="S82">
        <v>50</v>
      </c>
      <c r="X82">
        <v>25000000</v>
      </c>
      <c r="AH82">
        <v>25000000</v>
      </c>
    </row>
    <row r="83" spans="1:34" hidden="1" x14ac:dyDescent="0.45">
      <c r="A83">
        <v>9737</v>
      </c>
      <c r="B83" t="s">
        <v>121</v>
      </c>
      <c r="C83" t="s">
        <v>36</v>
      </c>
      <c r="D83" t="s">
        <v>37</v>
      </c>
      <c r="E83" t="s">
        <v>38</v>
      </c>
      <c r="F83" t="s">
        <v>238</v>
      </c>
      <c r="G83">
        <v>2</v>
      </c>
      <c r="H83" t="s">
        <v>239</v>
      </c>
      <c r="I83" t="s">
        <v>237</v>
      </c>
      <c r="K83" t="s">
        <v>66</v>
      </c>
      <c r="L83" t="s">
        <v>220</v>
      </c>
      <c r="M83">
        <v>31250000</v>
      </c>
      <c r="N83">
        <v>31250000</v>
      </c>
      <c r="O83">
        <v>15625000</v>
      </c>
      <c r="P83">
        <v>15625000</v>
      </c>
      <c r="Q83" s="1">
        <v>45345</v>
      </c>
      <c r="R83" s="1">
        <v>45348</v>
      </c>
      <c r="S83">
        <v>50</v>
      </c>
      <c r="X83">
        <v>15625000</v>
      </c>
      <c r="AH83">
        <v>15625000</v>
      </c>
    </row>
    <row r="84" spans="1:34" hidden="1" x14ac:dyDescent="0.45">
      <c r="A84">
        <v>9738</v>
      </c>
      <c r="B84" t="s">
        <v>121</v>
      </c>
      <c r="C84" t="s">
        <v>36</v>
      </c>
      <c r="D84" t="s">
        <v>37</v>
      </c>
      <c r="E84" t="s">
        <v>38</v>
      </c>
      <c r="F84" t="s">
        <v>238</v>
      </c>
      <c r="G84">
        <v>2</v>
      </c>
      <c r="H84" t="s">
        <v>239</v>
      </c>
      <c r="I84" t="s">
        <v>237</v>
      </c>
      <c r="K84" t="s">
        <v>66</v>
      </c>
      <c r="L84" t="s">
        <v>221</v>
      </c>
      <c r="M84">
        <v>31250000</v>
      </c>
      <c r="N84">
        <v>31250000</v>
      </c>
      <c r="O84">
        <v>15625000</v>
      </c>
      <c r="P84">
        <v>15625000</v>
      </c>
      <c r="Q84" s="1">
        <v>45345</v>
      </c>
      <c r="R84" s="1">
        <v>45377</v>
      </c>
      <c r="S84">
        <v>50</v>
      </c>
      <c r="X84">
        <v>15625000</v>
      </c>
      <c r="AH84">
        <v>15625000</v>
      </c>
    </row>
    <row r="85" spans="1:34" hidden="1" x14ac:dyDescent="0.45">
      <c r="A85">
        <v>9741</v>
      </c>
      <c r="B85" t="s">
        <v>45</v>
      </c>
      <c r="C85" t="s">
        <v>46</v>
      </c>
      <c r="D85" t="s">
        <v>24</v>
      </c>
      <c r="E85" t="s">
        <v>47</v>
      </c>
      <c r="F85" t="s">
        <v>240</v>
      </c>
      <c r="G85">
        <v>3</v>
      </c>
      <c r="H85" t="s">
        <v>241</v>
      </c>
      <c r="I85" t="s">
        <v>111</v>
      </c>
      <c r="K85" t="s">
        <v>146</v>
      </c>
      <c r="L85" t="s">
        <v>242</v>
      </c>
      <c r="M85">
        <v>30000000</v>
      </c>
      <c r="N85">
        <v>30000000</v>
      </c>
      <c r="O85">
        <v>21000000</v>
      </c>
      <c r="P85">
        <v>21000000</v>
      </c>
      <c r="Q85" s="1">
        <v>45565</v>
      </c>
      <c r="R85" s="1">
        <v>45596</v>
      </c>
      <c r="S85">
        <v>70</v>
      </c>
      <c r="X85">
        <v>21000000</v>
      </c>
      <c r="AE85">
        <v>21000000</v>
      </c>
    </row>
    <row r="86" spans="1:34" hidden="1" x14ac:dyDescent="0.45">
      <c r="A86">
        <v>9743</v>
      </c>
      <c r="B86" t="s">
        <v>58</v>
      </c>
      <c r="C86" t="s">
        <v>46</v>
      </c>
      <c r="D86" t="s">
        <v>24</v>
      </c>
      <c r="E86" t="s">
        <v>47</v>
      </c>
      <c r="F86" t="s">
        <v>243</v>
      </c>
      <c r="G86">
        <v>4</v>
      </c>
      <c r="H86" t="s">
        <v>244</v>
      </c>
      <c r="I86" t="s">
        <v>165</v>
      </c>
      <c r="K86" t="s">
        <v>51</v>
      </c>
      <c r="L86" t="s">
        <v>245</v>
      </c>
      <c r="M86">
        <v>300000000</v>
      </c>
      <c r="N86">
        <v>300000000</v>
      </c>
      <c r="O86">
        <v>270000000</v>
      </c>
      <c r="P86">
        <v>270000000</v>
      </c>
      <c r="Q86" s="1">
        <v>45535</v>
      </c>
      <c r="R86" s="1">
        <v>45565</v>
      </c>
      <c r="S86">
        <v>90</v>
      </c>
      <c r="Y86">
        <v>270000000</v>
      </c>
      <c r="AE86">
        <v>270000000</v>
      </c>
    </row>
    <row r="87" spans="1:34" hidden="1" x14ac:dyDescent="0.45">
      <c r="A87">
        <v>9749</v>
      </c>
      <c r="B87" t="s">
        <v>35</v>
      </c>
      <c r="C87" t="s">
        <v>36</v>
      </c>
      <c r="D87" t="s">
        <v>37</v>
      </c>
      <c r="E87" t="s">
        <v>38</v>
      </c>
      <c r="F87" t="s">
        <v>246</v>
      </c>
      <c r="G87">
        <v>1</v>
      </c>
      <c r="H87" t="s">
        <v>247</v>
      </c>
      <c r="I87" t="s">
        <v>248</v>
      </c>
      <c r="K87" t="s">
        <v>42</v>
      </c>
      <c r="L87" t="s">
        <v>185</v>
      </c>
      <c r="M87">
        <v>250000000</v>
      </c>
      <c r="N87">
        <v>250000000</v>
      </c>
      <c r="O87">
        <v>25000000</v>
      </c>
      <c r="P87">
        <v>25000000</v>
      </c>
      <c r="Q87" s="1">
        <v>45345</v>
      </c>
      <c r="R87" s="1">
        <v>45345</v>
      </c>
      <c r="S87">
        <v>10</v>
      </c>
      <c r="X87">
        <v>25000000</v>
      </c>
      <c r="AH87">
        <v>25000000</v>
      </c>
    </row>
    <row r="88" spans="1:34" hidden="1" x14ac:dyDescent="0.45">
      <c r="A88">
        <v>9750</v>
      </c>
      <c r="B88" t="s">
        <v>35</v>
      </c>
      <c r="C88" t="s">
        <v>36</v>
      </c>
      <c r="D88" t="s">
        <v>37</v>
      </c>
      <c r="E88" t="s">
        <v>38</v>
      </c>
      <c r="F88" t="s">
        <v>246</v>
      </c>
      <c r="G88">
        <v>1</v>
      </c>
      <c r="H88" t="s">
        <v>247</v>
      </c>
      <c r="I88" t="s">
        <v>248</v>
      </c>
      <c r="K88" t="s">
        <v>42</v>
      </c>
      <c r="L88" t="s">
        <v>249</v>
      </c>
      <c r="M88">
        <v>250000000</v>
      </c>
      <c r="N88">
        <v>250000000</v>
      </c>
      <c r="O88">
        <v>25000000</v>
      </c>
      <c r="P88">
        <v>25000000</v>
      </c>
      <c r="Q88" s="1">
        <v>45345</v>
      </c>
      <c r="R88" s="1">
        <v>45527</v>
      </c>
      <c r="S88">
        <v>10</v>
      </c>
      <c r="X88">
        <v>25000000</v>
      </c>
      <c r="AH88">
        <v>25000000</v>
      </c>
    </row>
    <row r="89" spans="1:34" hidden="1" x14ac:dyDescent="0.45">
      <c r="A89">
        <v>9767</v>
      </c>
      <c r="B89" t="s">
        <v>88</v>
      </c>
      <c r="C89" t="s">
        <v>46</v>
      </c>
      <c r="D89" t="s">
        <v>24</v>
      </c>
      <c r="E89" t="s">
        <v>47</v>
      </c>
      <c r="F89" t="s">
        <v>89</v>
      </c>
      <c r="G89">
        <v>4</v>
      </c>
      <c r="H89" t="s">
        <v>90</v>
      </c>
      <c r="I89" t="s">
        <v>91</v>
      </c>
      <c r="K89" t="s">
        <v>51</v>
      </c>
      <c r="L89" t="s">
        <v>250</v>
      </c>
      <c r="M89">
        <v>347500000</v>
      </c>
      <c r="N89">
        <v>347500000</v>
      </c>
      <c r="O89">
        <v>104250000</v>
      </c>
      <c r="P89">
        <v>104250000</v>
      </c>
      <c r="Q89" s="1">
        <v>45443</v>
      </c>
      <c r="R89" s="1">
        <v>45504</v>
      </c>
      <c r="S89">
        <v>30</v>
      </c>
      <c r="W89">
        <v>33750000</v>
      </c>
      <c r="Y89">
        <v>70500000</v>
      </c>
      <c r="AE89">
        <v>104250000</v>
      </c>
    </row>
    <row r="90" spans="1:34" hidden="1" x14ac:dyDescent="0.45">
      <c r="A90">
        <v>9768</v>
      </c>
      <c r="B90" t="s">
        <v>88</v>
      </c>
      <c r="C90" t="s">
        <v>46</v>
      </c>
      <c r="D90" t="s">
        <v>24</v>
      </c>
      <c r="E90" t="s">
        <v>47</v>
      </c>
      <c r="F90" t="s">
        <v>89</v>
      </c>
      <c r="G90">
        <v>4</v>
      </c>
      <c r="H90" t="s">
        <v>90</v>
      </c>
      <c r="I90" t="s">
        <v>91</v>
      </c>
      <c r="K90" t="s">
        <v>51</v>
      </c>
      <c r="L90" t="s">
        <v>251</v>
      </c>
      <c r="M90">
        <v>347500000</v>
      </c>
      <c r="N90">
        <v>347500000</v>
      </c>
      <c r="O90">
        <v>104250000</v>
      </c>
      <c r="P90">
        <v>104250000</v>
      </c>
      <c r="Q90" s="1">
        <v>45443</v>
      </c>
      <c r="R90" s="1">
        <v>45535</v>
      </c>
      <c r="S90">
        <v>30</v>
      </c>
      <c r="W90">
        <v>33750000</v>
      </c>
      <c r="Y90">
        <v>70500000</v>
      </c>
      <c r="AE90">
        <v>104250000</v>
      </c>
    </row>
    <row r="91" spans="1:34" hidden="1" x14ac:dyDescent="0.45">
      <c r="A91">
        <v>9769</v>
      </c>
      <c r="B91" t="s">
        <v>88</v>
      </c>
      <c r="C91" t="s">
        <v>46</v>
      </c>
      <c r="D91" t="s">
        <v>24</v>
      </c>
      <c r="E91" t="s">
        <v>47</v>
      </c>
      <c r="F91" t="s">
        <v>89</v>
      </c>
      <c r="G91">
        <v>4</v>
      </c>
      <c r="H91" t="s">
        <v>90</v>
      </c>
      <c r="I91" t="s">
        <v>91</v>
      </c>
      <c r="K91" t="s">
        <v>51</v>
      </c>
      <c r="L91" t="s">
        <v>252</v>
      </c>
      <c r="M91">
        <v>347500000</v>
      </c>
      <c r="N91">
        <v>347500000</v>
      </c>
      <c r="O91">
        <v>104250000</v>
      </c>
      <c r="P91">
        <v>104250000</v>
      </c>
      <c r="Q91" s="1">
        <v>45443</v>
      </c>
      <c r="R91" s="1">
        <v>45565</v>
      </c>
      <c r="S91">
        <v>30</v>
      </c>
      <c r="W91">
        <v>33750000</v>
      </c>
      <c r="Y91">
        <v>70500000</v>
      </c>
      <c r="AE91">
        <v>104250000</v>
      </c>
    </row>
    <row r="92" spans="1:34" hidden="1" x14ac:dyDescent="0.45">
      <c r="A92">
        <v>9789</v>
      </c>
      <c r="B92" t="s">
        <v>45</v>
      </c>
      <c r="C92" t="s">
        <v>46</v>
      </c>
      <c r="D92" t="s">
        <v>24</v>
      </c>
      <c r="E92" t="s">
        <v>47</v>
      </c>
      <c r="F92" t="s">
        <v>93</v>
      </c>
      <c r="G92">
        <v>4</v>
      </c>
      <c r="H92" t="s">
        <v>94</v>
      </c>
      <c r="I92" t="s">
        <v>95</v>
      </c>
      <c r="K92" t="s">
        <v>51</v>
      </c>
      <c r="L92" t="s">
        <v>148</v>
      </c>
      <c r="M92">
        <v>300000000</v>
      </c>
      <c r="N92">
        <v>300000000</v>
      </c>
      <c r="O92">
        <v>210000000</v>
      </c>
      <c r="P92">
        <v>210000000</v>
      </c>
      <c r="Q92" s="1">
        <v>45777</v>
      </c>
      <c r="R92" s="1">
        <v>45900</v>
      </c>
      <c r="S92">
        <v>70</v>
      </c>
      <c r="X92">
        <v>210000000</v>
      </c>
      <c r="AC92">
        <v>210000000</v>
      </c>
    </row>
    <row r="93" spans="1:34" hidden="1" x14ac:dyDescent="0.45">
      <c r="A93">
        <v>9790</v>
      </c>
      <c r="B93" t="s">
        <v>45</v>
      </c>
      <c r="C93" t="s">
        <v>46</v>
      </c>
      <c r="D93" t="s">
        <v>24</v>
      </c>
      <c r="E93" t="s">
        <v>47</v>
      </c>
      <c r="F93" t="s">
        <v>93</v>
      </c>
      <c r="G93">
        <v>4</v>
      </c>
      <c r="H93" t="s">
        <v>94</v>
      </c>
      <c r="I93" t="s">
        <v>95</v>
      </c>
      <c r="K93" t="s">
        <v>51</v>
      </c>
      <c r="L93" t="s">
        <v>253</v>
      </c>
      <c r="M93">
        <v>300000000</v>
      </c>
      <c r="N93">
        <v>300000000</v>
      </c>
      <c r="O93">
        <v>210000000</v>
      </c>
      <c r="P93">
        <v>210000000</v>
      </c>
      <c r="Q93" s="1">
        <v>45777</v>
      </c>
      <c r="R93" s="1">
        <v>45991</v>
      </c>
      <c r="S93">
        <v>70</v>
      </c>
      <c r="X93">
        <v>210000000</v>
      </c>
      <c r="AC93">
        <v>210000000</v>
      </c>
    </row>
    <row r="94" spans="1:34" hidden="1" x14ac:dyDescent="0.45">
      <c r="A94">
        <v>9791</v>
      </c>
      <c r="B94" t="s">
        <v>45</v>
      </c>
      <c r="C94" t="s">
        <v>46</v>
      </c>
      <c r="D94" t="s">
        <v>24</v>
      </c>
      <c r="E94" t="s">
        <v>47</v>
      </c>
      <c r="F94" t="s">
        <v>93</v>
      </c>
      <c r="G94">
        <v>4</v>
      </c>
      <c r="H94" t="s">
        <v>94</v>
      </c>
      <c r="I94" t="s">
        <v>95</v>
      </c>
      <c r="K94" t="s">
        <v>51</v>
      </c>
      <c r="L94" t="s">
        <v>254</v>
      </c>
      <c r="M94">
        <v>200000000</v>
      </c>
      <c r="N94">
        <v>200000000</v>
      </c>
      <c r="O94">
        <v>140000000</v>
      </c>
      <c r="P94">
        <v>140000000</v>
      </c>
      <c r="Q94" s="1">
        <v>45777</v>
      </c>
      <c r="R94" s="1">
        <v>46022</v>
      </c>
      <c r="S94">
        <v>70</v>
      </c>
      <c r="X94">
        <v>140000000</v>
      </c>
      <c r="AC94">
        <v>140000000</v>
      </c>
    </row>
    <row r="95" spans="1:34" hidden="1" x14ac:dyDescent="0.45">
      <c r="A95">
        <v>9792</v>
      </c>
      <c r="B95" t="s">
        <v>58</v>
      </c>
      <c r="C95" t="s">
        <v>46</v>
      </c>
      <c r="D95" t="s">
        <v>24</v>
      </c>
      <c r="E95" t="s">
        <v>47</v>
      </c>
      <c r="F95" t="s">
        <v>255</v>
      </c>
      <c r="G95">
        <v>4</v>
      </c>
      <c r="H95" t="s">
        <v>256</v>
      </c>
      <c r="I95" t="s">
        <v>257</v>
      </c>
      <c r="K95" t="s">
        <v>51</v>
      </c>
      <c r="L95" t="s">
        <v>258</v>
      </c>
      <c r="M95">
        <v>90000000</v>
      </c>
      <c r="N95">
        <v>90000000</v>
      </c>
      <c r="O95">
        <v>27000000</v>
      </c>
      <c r="P95">
        <v>27000000</v>
      </c>
      <c r="Q95" s="1">
        <v>45351</v>
      </c>
      <c r="R95" s="1">
        <v>45351</v>
      </c>
      <c r="S95">
        <v>30</v>
      </c>
      <c r="Y95">
        <v>27000000</v>
      </c>
      <c r="AE95">
        <v>27000000</v>
      </c>
    </row>
    <row r="96" spans="1:34" hidden="1" x14ac:dyDescent="0.45">
      <c r="A96">
        <v>9796</v>
      </c>
      <c r="B96" t="s">
        <v>58</v>
      </c>
      <c r="C96" t="s">
        <v>46</v>
      </c>
      <c r="D96" t="s">
        <v>24</v>
      </c>
      <c r="E96" t="s">
        <v>47</v>
      </c>
      <c r="F96" t="s">
        <v>255</v>
      </c>
      <c r="G96">
        <v>4</v>
      </c>
      <c r="H96" t="s">
        <v>256</v>
      </c>
      <c r="I96" t="s">
        <v>257</v>
      </c>
      <c r="K96" t="s">
        <v>51</v>
      </c>
      <c r="L96" t="s">
        <v>259</v>
      </c>
      <c r="M96">
        <v>120000000</v>
      </c>
      <c r="N96">
        <v>120000000</v>
      </c>
      <c r="O96">
        <v>36000000</v>
      </c>
      <c r="P96">
        <v>36000000</v>
      </c>
      <c r="Q96" s="1">
        <v>45351</v>
      </c>
      <c r="R96" s="1">
        <v>45412</v>
      </c>
      <c r="S96">
        <v>30</v>
      </c>
      <c r="Y96">
        <v>36000000</v>
      </c>
      <c r="AE96">
        <v>36000000</v>
      </c>
    </row>
    <row r="97" spans="1:36" hidden="1" x14ac:dyDescent="0.45">
      <c r="A97">
        <v>9798</v>
      </c>
      <c r="B97" t="s">
        <v>58</v>
      </c>
      <c r="C97" t="s">
        <v>46</v>
      </c>
      <c r="D97" t="s">
        <v>24</v>
      </c>
      <c r="E97" t="s">
        <v>47</v>
      </c>
      <c r="F97" t="s">
        <v>255</v>
      </c>
      <c r="G97">
        <v>4</v>
      </c>
      <c r="H97" t="s">
        <v>256</v>
      </c>
      <c r="I97" t="s">
        <v>257</v>
      </c>
      <c r="K97" t="s">
        <v>51</v>
      </c>
      <c r="L97" t="s">
        <v>260</v>
      </c>
      <c r="M97">
        <v>120000000</v>
      </c>
      <c r="N97">
        <v>120000000</v>
      </c>
      <c r="O97">
        <v>36000000</v>
      </c>
      <c r="P97">
        <v>36000000</v>
      </c>
      <c r="Q97" s="1">
        <v>45351</v>
      </c>
      <c r="R97" s="1">
        <v>45473</v>
      </c>
      <c r="S97">
        <v>30</v>
      </c>
      <c r="Y97">
        <v>36000000</v>
      </c>
      <c r="AE97">
        <v>36000000</v>
      </c>
    </row>
    <row r="98" spans="1:36" hidden="1" x14ac:dyDescent="0.45">
      <c r="A98">
        <v>9800</v>
      </c>
      <c r="B98" t="s">
        <v>58</v>
      </c>
      <c r="C98" t="s">
        <v>46</v>
      </c>
      <c r="D98" t="s">
        <v>24</v>
      </c>
      <c r="E98" t="s">
        <v>47</v>
      </c>
      <c r="F98" t="s">
        <v>255</v>
      </c>
      <c r="G98">
        <v>4</v>
      </c>
      <c r="H98" t="s">
        <v>256</v>
      </c>
      <c r="I98" t="s">
        <v>257</v>
      </c>
      <c r="K98" t="s">
        <v>51</v>
      </c>
      <c r="L98" t="s">
        <v>261</v>
      </c>
      <c r="M98">
        <v>270000000</v>
      </c>
      <c r="N98">
        <v>270000000</v>
      </c>
      <c r="O98">
        <v>81000000</v>
      </c>
      <c r="P98">
        <v>81000000</v>
      </c>
      <c r="Q98" s="1">
        <v>45351</v>
      </c>
      <c r="R98" s="1">
        <v>45504</v>
      </c>
      <c r="S98">
        <v>30</v>
      </c>
      <c r="Y98">
        <v>81000000</v>
      </c>
      <c r="AE98">
        <v>81000000</v>
      </c>
    </row>
    <row r="99" spans="1:36" hidden="1" x14ac:dyDescent="0.45">
      <c r="A99">
        <v>9810</v>
      </c>
      <c r="B99" t="s">
        <v>45</v>
      </c>
      <c r="C99" t="s">
        <v>46</v>
      </c>
      <c r="D99" t="s">
        <v>24</v>
      </c>
      <c r="E99" t="s">
        <v>47</v>
      </c>
      <c r="F99" t="s">
        <v>109</v>
      </c>
      <c r="G99">
        <v>4</v>
      </c>
      <c r="H99" t="s">
        <v>110</v>
      </c>
      <c r="I99" t="s">
        <v>111</v>
      </c>
      <c r="K99" t="s">
        <v>51</v>
      </c>
      <c r="L99" t="s">
        <v>262</v>
      </c>
      <c r="M99">
        <v>600000000</v>
      </c>
      <c r="N99">
        <v>600000000</v>
      </c>
      <c r="O99">
        <v>480000000</v>
      </c>
      <c r="P99">
        <v>480000000</v>
      </c>
      <c r="Q99" s="1">
        <v>45504</v>
      </c>
      <c r="R99" s="1">
        <v>45562</v>
      </c>
      <c r="S99">
        <v>80</v>
      </c>
      <c r="X99">
        <v>480000000</v>
      </c>
      <c r="AE99">
        <v>480000000</v>
      </c>
    </row>
    <row r="100" spans="1:36" hidden="1" x14ac:dyDescent="0.45">
      <c r="A100">
        <v>9811</v>
      </c>
      <c r="B100" t="s">
        <v>45</v>
      </c>
      <c r="C100" t="s">
        <v>46</v>
      </c>
      <c r="D100" t="s">
        <v>24</v>
      </c>
      <c r="E100" t="s">
        <v>47</v>
      </c>
      <c r="F100" t="s">
        <v>109</v>
      </c>
      <c r="G100">
        <v>4</v>
      </c>
      <c r="H100" t="s">
        <v>110</v>
      </c>
      <c r="I100" t="s">
        <v>111</v>
      </c>
      <c r="K100" t="s">
        <v>51</v>
      </c>
      <c r="L100" t="s">
        <v>117</v>
      </c>
      <c r="M100">
        <v>400000000</v>
      </c>
      <c r="N100">
        <v>400000000</v>
      </c>
      <c r="O100">
        <v>320000000</v>
      </c>
      <c r="P100">
        <v>320000000</v>
      </c>
      <c r="Q100" s="1">
        <v>45504</v>
      </c>
      <c r="R100" s="1">
        <v>45596</v>
      </c>
      <c r="S100">
        <v>80</v>
      </c>
      <c r="X100">
        <v>320000000</v>
      </c>
      <c r="AE100">
        <v>320000000</v>
      </c>
    </row>
    <row r="101" spans="1:36" hidden="1" x14ac:dyDescent="0.45">
      <c r="A101">
        <v>9812</v>
      </c>
      <c r="B101" t="s">
        <v>45</v>
      </c>
      <c r="C101" t="s">
        <v>46</v>
      </c>
      <c r="D101" t="s">
        <v>24</v>
      </c>
      <c r="E101" t="s">
        <v>47</v>
      </c>
      <c r="F101" t="s">
        <v>109</v>
      </c>
      <c r="G101">
        <v>4</v>
      </c>
      <c r="H101" t="s">
        <v>110</v>
      </c>
      <c r="I101" t="s">
        <v>111</v>
      </c>
      <c r="K101" t="s">
        <v>51</v>
      </c>
      <c r="L101" t="s">
        <v>263</v>
      </c>
      <c r="M101">
        <v>400000000</v>
      </c>
      <c r="N101">
        <v>400000000</v>
      </c>
      <c r="O101">
        <v>320000000</v>
      </c>
      <c r="P101">
        <v>320000000</v>
      </c>
      <c r="Q101" s="1">
        <v>45504</v>
      </c>
      <c r="R101" s="1">
        <v>45625</v>
      </c>
      <c r="S101">
        <v>80</v>
      </c>
      <c r="X101">
        <v>320000000</v>
      </c>
      <c r="AE101">
        <v>320000000</v>
      </c>
    </row>
    <row r="102" spans="1:36" hidden="1" x14ac:dyDescent="0.45">
      <c r="A102">
        <v>9833</v>
      </c>
      <c r="B102" t="s">
        <v>45</v>
      </c>
      <c r="C102" t="s">
        <v>46</v>
      </c>
      <c r="D102" t="s">
        <v>24</v>
      </c>
      <c r="E102" t="s">
        <v>47</v>
      </c>
      <c r="F102" t="s">
        <v>141</v>
      </c>
      <c r="G102">
        <v>4</v>
      </c>
      <c r="H102" t="s">
        <v>142</v>
      </c>
      <c r="I102" t="s">
        <v>95</v>
      </c>
      <c r="K102" t="s">
        <v>51</v>
      </c>
      <c r="L102" t="s">
        <v>148</v>
      </c>
      <c r="M102">
        <v>15000000</v>
      </c>
      <c r="N102">
        <v>15000000</v>
      </c>
      <c r="O102">
        <v>10500000</v>
      </c>
      <c r="P102">
        <v>10500000</v>
      </c>
      <c r="Q102" s="1">
        <v>45534</v>
      </c>
      <c r="R102" s="1">
        <v>45596</v>
      </c>
      <c r="S102">
        <v>70</v>
      </c>
      <c r="X102">
        <v>10500000</v>
      </c>
      <c r="AC102">
        <v>10500000</v>
      </c>
    </row>
    <row r="103" spans="1:36" hidden="1" x14ac:dyDescent="0.45">
      <c r="A103">
        <v>9834</v>
      </c>
      <c r="B103" t="s">
        <v>45</v>
      </c>
      <c r="C103" t="s">
        <v>46</v>
      </c>
      <c r="D103" t="s">
        <v>24</v>
      </c>
      <c r="E103" t="s">
        <v>47</v>
      </c>
      <c r="F103" t="s">
        <v>141</v>
      </c>
      <c r="G103">
        <v>4</v>
      </c>
      <c r="H103" t="s">
        <v>142</v>
      </c>
      <c r="I103" t="s">
        <v>95</v>
      </c>
      <c r="K103" t="s">
        <v>51</v>
      </c>
      <c r="L103" t="s">
        <v>253</v>
      </c>
      <c r="M103">
        <v>15000000</v>
      </c>
      <c r="N103">
        <v>15000000</v>
      </c>
      <c r="O103">
        <v>10500000</v>
      </c>
      <c r="P103">
        <v>10500000</v>
      </c>
      <c r="Q103" s="1">
        <v>45534</v>
      </c>
      <c r="R103" s="1">
        <v>45625</v>
      </c>
      <c r="S103">
        <v>70</v>
      </c>
      <c r="X103">
        <v>10500000</v>
      </c>
      <c r="AC103">
        <v>10500000</v>
      </c>
    </row>
    <row r="104" spans="1:36" hidden="1" x14ac:dyDescent="0.45">
      <c r="A104">
        <v>9836</v>
      </c>
      <c r="B104" t="s">
        <v>45</v>
      </c>
      <c r="C104" t="s">
        <v>46</v>
      </c>
      <c r="D104" t="s">
        <v>24</v>
      </c>
      <c r="E104" t="s">
        <v>47</v>
      </c>
      <c r="F104" t="s">
        <v>141</v>
      </c>
      <c r="G104">
        <v>4</v>
      </c>
      <c r="H104" t="s">
        <v>142</v>
      </c>
      <c r="I104" t="s">
        <v>95</v>
      </c>
      <c r="K104" t="s">
        <v>51</v>
      </c>
      <c r="L104" t="s">
        <v>254</v>
      </c>
      <c r="M104">
        <v>10000000</v>
      </c>
      <c r="N104">
        <v>10000000</v>
      </c>
      <c r="O104">
        <v>7000000</v>
      </c>
      <c r="P104">
        <v>7000000</v>
      </c>
      <c r="Q104" s="1">
        <v>45534</v>
      </c>
      <c r="R104" s="1">
        <v>45646</v>
      </c>
      <c r="S104">
        <v>70</v>
      </c>
      <c r="X104">
        <v>7000000</v>
      </c>
      <c r="AC104">
        <v>7000000</v>
      </c>
    </row>
    <row r="105" spans="1:36" hidden="1" x14ac:dyDescent="0.45">
      <c r="A105">
        <v>9857</v>
      </c>
      <c r="B105" t="s">
        <v>45</v>
      </c>
      <c r="C105" t="s">
        <v>46</v>
      </c>
      <c r="D105" t="s">
        <v>24</v>
      </c>
      <c r="E105" t="s">
        <v>47</v>
      </c>
      <c r="F105" t="s">
        <v>240</v>
      </c>
      <c r="G105">
        <v>3</v>
      </c>
      <c r="H105" t="s">
        <v>241</v>
      </c>
      <c r="I105" t="s">
        <v>111</v>
      </c>
      <c r="K105" t="s">
        <v>146</v>
      </c>
      <c r="L105" t="s">
        <v>264</v>
      </c>
      <c r="M105">
        <v>40000000</v>
      </c>
      <c r="N105">
        <v>40000000</v>
      </c>
      <c r="O105">
        <v>28000000</v>
      </c>
      <c r="P105">
        <v>28000000</v>
      </c>
      <c r="Q105" s="1">
        <v>45565</v>
      </c>
      <c r="R105" s="1">
        <v>45747</v>
      </c>
      <c r="S105">
        <v>70</v>
      </c>
      <c r="X105">
        <v>28000000</v>
      </c>
      <c r="AE105">
        <v>28000000</v>
      </c>
    </row>
    <row r="106" spans="1:36" hidden="1" x14ac:dyDescent="0.45">
      <c r="A106">
        <v>9858</v>
      </c>
      <c r="B106" t="s">
        <v>45</v>
      </c>
      <c r="C106" t="s">
        <v>46</v>
      </c>
      <c r="D106" t="s">
        <v>24</v>
      </c>
      <c r="E106" t="s">
        <v>47</v>
      </c>
      <c r="F106" t="s">
        <v>240</v>
      </c>
      <c r="G106">
        <v>3</v>
      </c>
      <c r="H106" t="s">
        <v>241</v>
      </c>
      <c r="I106" t="s">
        <v>111</v>
      </c>
      <c r="K106" t="s">
        <v>146</v>
      </c>
      <c r="L106" t="s">
        <v>265</v>
      </c>
      <c r="M106">
        <v>30000000</v>
      </c>
      <c r="N106">
        <v>30000000</v>
      </c>
      <c r="O106">
        <v>21000000</v>
      </c>
      <c r="P106">
        <v>21000000</v>
      </c>
      <c r="Q106" s="1">
        <v>45565</v>
      </c>
      <c r="R106" s="1">
        <v>45930</v>
      </c>
      <c r="S106">
        <v>70</v>
      </c>
      <c r="X106">
        <v>21000000</v>
      </c>
      <c r="AE106">
        <v>21000000</v>
      </c>
    </row>
    <row r="107" spans="1:36" hidden="1" x14ac:dyDescent="0.45">
      <c r="A107">
        <v>9859</v>
      </c>
      <c r="B107" t="s">
        <v>45</v>
      </c>
      <c r="C107" t="s">
        <v>46</v>
      </c>
      <c r="D107" t="s">
        <v>24</v>
      </c>
      <c r="E107" t="s">
        <v>47</v>
      </c>
      <c r="F107" t="s">
        <v>97</v>
      </c>
      <c r="G107">
        <v>4</v>
      </c>
      <c r="H107" t="s">
        <v>98</v>
      </c>
      <c r="I107" t="s">
        <v>99</v>
      </c>
      <c r="K107" t="s">
        <v>51</v>
      </c>
      <c r="L107" t="s">
        <v>148</v>
      </c>
      <c r="M107">
        <v>300000000</v>
      </c>
      <c r="N107">
        <v>45000000</v>
      </c>
      <c r="O107">
        <v>120000000</v>
      </c>
      <c r="P107">
        <v>18000000</v>
      </c>
      <c r="Q107" s="1">
        <v>45504</v>
      </c>
      <c r="R107" s="1">
        <v>45596</v>
      </c>
      <c r="S107">
        <v>40</v>
      </c>
      <c r="V107">
        <v>18000000</v>
      </c>
      <c r="AJ107">
        <v>18000000</v>
      </c>
    </row>
    <row r="108" spans="1:36" hidden="1" x14ac:dyDescent="0.45">
      <c r="A108">
        <v>9861</v>
      </c>
      <c r="B108" t="s">
        <v>45</v>
      </c>
      <c r="C108" t="s">
        <v>46</v>
      </c>
      <c r="D108" t="s">
        <v>24</v>
      </c>
      <c r="E108" t="s">
        <v>47</v>
      </c>
      <c r="F108" t="s">
        <v>97</v>
      </c>
      <c r="G108">
        <v>4</v>
      </c>
      <c r="H108" t="s">
        <v>98</v>
      </c>
      <c r="I108" t="s">
        <v>99</v>
      </c>
      <c r="K108" t="s">
        <v>51</v>
      </c>
      <c r="L108" t="s">
        <v>253</v>
      </c>
      <c r="M108">
        <v>300000000</v>
      </c>
      <c r="N108">
        <v>45000000</v>
      </c>
      <c r="O108">
        <v>120000000</v>
      </c>
      <c r="P108">
        <v>18000000</v>
      </c>
      <c r="Q108" s="1">
        <v>45504</v>
      </c>
      <c r="R108" s="1">
        <v>45657</v>
      </c>
      <c r="S108">
        <v>40</v>
      </c>
      <c r="V108">
        <v>18000000</v>
      </c>
      <c r="AJ108">
        <v>18000000</v>
      </c>
    </row>
    <row r="109" spans="1:36" hidden="1" x14ac:dyDescent="0.45">
      <c r="A109">
        <v>9863</v>
      </c>
      <c r="B109" t="s">
        <v>45</v>
      </c>
      <c r="C109" t="s">
        <v>46</v>
      </c>
      <c r="D109" t="s">
        <v>24</v>
      </c>
      <c r="E109" t="s">
        <v>47</v>
      </c>
      <c r="F109" t="s">
        <v>97</v>
      </c>
      <c r="G109">
        <v>4</v>
      </c>
      <c r="H109" t="s">
        <v>98</v>
      </c>
      <c r="I109" t="s">
        <v>99</v>
      </c>
      <c r="K109" t="s">
        <v>51</v>
      </c>
      <c r="L109" t="s">
        <v>254</v>
      </c>
      <c r="M109">
        <v>200000000</v>
      </c>
      <c r="N109">
        <v>30000000</v>
      </c>
      <c r="O109">
        <v>80000000</v>
      </c>
      <c r="P109">
        <v>12000000</v>
      </c>
      <c r="Q109" s="1">
        <v>45504</v>
      </c>
      <c r="R109" s="1">
        <v>45688</v>
      </c>
      <c r="S109">
        <v>40</v>
      </c>
      <c r="V109">
        <v>12000000</v>
      </c>
      <c r="AJ109">
        <v>12000000</v>
      </c>
    </row>
    <row r="110" spans="1:36" hidden="1" x14ac:dyDescent="0.45">
      <c r="A110">
        <v>9904</v>
      </c>
      <c r="B110" t="s">
        <v>58</v>
      </c>
      <c r="C110" t="s">
        <v>46</v>
      </c>
      <c r="D110" t="s">
        <v>24</v>
      </c>
      <c r="E110" t="s">
        <v>47</v>
      </c>
      <c r="F110" t="s">
        <v>266</v>
      </c>
      <c r="G110">
        <v>1</v>
      </c>
      <c r="H110" t="s">
        <v>267</v>
      </c>
      <c r="I110" t="s">
        <v>268</v>
      </c>
      <c r="K110" t="s">
        <v>42</v>
      </c>
      <c r="L110" t="s">
        <v>269</v>
      </c>
      <c r="M110">
        <v>325000000</v>
      </c>
      <c r="N110">
        <v>325000000</v>
      </c>
      <c r="O110">
        <v>32500000</v>
      </c>
      <c r="P110">
        <v>32500000</v>
      </c>
      <c r="Q110" s="1">
        <v>45554</v>
      </c>
      <c r="R110" s="1">
        <v>45688</v>
      </c>
      <c r="S110">
        <v>10</v>
      </c>
      <c r="Y110">
        <v>32500000</v>
      </c>
      <c r="AF110">
        <v>17500000</v>
      </c>
      <c r="AG110">
        <v>15000000</v>
      </c>
    </row>
    <row r="111" spans="1:36" hidden="1" x14ac:dyDescent="0.45">
      <c r="A111">
        <v>9905</v>
      </c>
      <c r="B111" t="s">
        <v>58</v>
      </c>
      <c r="C111" t="s">
        <v>46</v>
      </c>
      <c r="D111" t="s">
        <v>24</v>
      </c>
      <c r="E111" t="s">
        <v>47</v>
      </c>
      <c r="F111" t="s">
        <v>266</v>
      </c>
      <c r="G111">
        <v>1</v>
      </c>
      <c r="H111" t="s">
        <v>267</v>
      </c>
      <c r="I111" t="s">
        <v>268</v>
      </c>
      <c r="K111" t="s">
        <v>42</v>
      </c>
      <c r="L111" t="s">
        <v>270</v>
      </c>
      <c r="M111">
        <v>325000000</v>
      </c>
      <c r="N111">
        <v>325000000</v>
      </c>
      <c r="O111">
        <v>32500000</v>
      </c>
      <c r="P111">
        <v>32500000</v>
      </c>
      <c r="Q111" s="1">
        <v>45554</v>
      </c>
      <c r="R111" s="1">
        <v>45777</v>
      </c>
      <c r="S111">
        <v>10</v>
      </c>
      <c r="Y111">
        <v>32500000</v>
      </c>
      <c r="AF111">
        <v>17500000</v>
      </c>
      <c r="AG111">
        <v>15000000</v>
      </c>
    </row>
    <row r="112" spans="1:36" hidden="1" x14ac:dyDescent="0.45">
      <c r="A112">
        <v>9906</v>
      </c>
      <c r="B112" t="s">
        <v>58</v>
      </c>
      <c r="C112" t="s">
        <v>46</v>
      </c>
      <c r="D112" t="s">
        <v>24</v>
      </c>
      <c r="E112" t="s">
        <v>47</v>
      </c>
      <c r="F112" t="s">
        <v>266</v>
      </c>
      <c r="G112">
        <v>1</v>
      </c>
      <c r="H112" t="s">
        <v>267</v>
      </c>
      <c r="I112" t="s">
        <v>268</v>
      </c>
      <c r="K112" t="s">
        <v>42</v>
      </c>
      <c r="L112" t="s">
        <v>271</v>
      </c>
      <c r="M112">
        <v>325000000</v>
      </c>
      <c r="N112">
        <v>325000000</v>
      </c>
      <c r="O112">
        <v>32500000</v>
      </c>
      <c r="P112">
        <v>32500000</v>
      </c>
      <c r="Q112" s="1">
        <v>45554</v>
      </c>
      <c r="R112" s="1">
        <v>45869</v>
      </c>
      <c r="S112">
        <v>10</v>
      </c>
      <c r="Y112">
        <v>32500000</v>
      </c>
      <c r="AF112">
        <v>17500000</v>
      </c>
      <c r="AG112">
        <v>15000000</v>
      </c>
    </row>
    <row r="113" spans="1:36" hidden="1" x14ac:dyDescent="0.45">
      <c r="A113">
        <v>9907</v>
      </c>
      <c r="B113" t="s">
        <v>58</v>
      </c>
      <c r="C113" t="s">
        <v>46</v>
      </c>
      <c r="D113" t="s">
        <v>24</v>
      </c>
      <c r="E113" t="s">
        <v>47</v>
      </c>
      <c r="F113" t="s">
        <v>266</v>
      </c>
      <c r="G113">
        <v>1</v>
      </c>
      <c r="H113" t="s">
        <v>267</v>
      </c>
      <c r="I113" t="s">
        <v>268</v>
      </c>
      <c r="K113" t="s">
        <v>42</v>
      </c>
      <c r="L113" t="s">
        <v>272</v>
      </c>
      <c r="M113">
        <v>325000000</v>
      </c>
      <c r="N113">
        <v>325000000</v>
      </c>
      <c r="O113">
        <v>32500000</v>
      </c>
      <c r="P113">
        <v>32500000</v>
      </c>
      <c r="Q113" s="1">
        <v>45554</v>
      </c>
      <c r="R113" s="1">
        <v>45961</v>
      </c>
      <c r="S113">
        <v>10</v>
      </c>
      <c r="Y113">
        <v>32500000</v>
      </c>
      <c r="AF113">
        <v>17500000</v>
      </c>
      <c r="AG113">
        <v>15000000</v>
      </c>
    </row>
    <row r="114" spans="1:36" hidden="1" x14ac:dyDescent="0.45">
      <c r="A114">
        <v>9909</v>
      </c>
      <c r="B114" t="s">
        <v>45</v>
      </c>
      <c r="C114" t="s">
        <v>46</v>
      </c>
      <c r="D114" t="s">
        <v>24</v>
      </c>
      <c r="E114" t="s">
        <v>47</v>
      </c>
      <c r="F114" t="s">
        <v>273</v>
      </c>
      <c r="G114">
        <v>4</v>
      </c>
      <c r="H114" t="s">
        <v>274</v>
      </c>
      <c r="I114" t="s">
        <v>205</v>
      </c>
      <c r="K114" t="s">
        <v>51</v>
      </c>
      <c r="L114" t="s">
        <v>206</v>
      </c>
      <c r="M114">
        <v>588900000</v>
      </c>
      <c r="N114">
        <v>588900000</v>
      </c>
      <c r="O114">
        <v>176670000</v>
      </c>
      <c r="P114">
        <v>176670000</v>
      </c>
      <c r="Q114" s="1">
        <v>45596</v>
      </c>
      <c r="R114" s="1">
        <v>45626</v>
      </c>
      <c r="S114">
        <v>30</v>
      </c>
      <c r="Y114">
        <v>176670000</v>
      </c>
      <c r="AG114">
        <v>176670000</v>
      </c>
    </row>
    <row r="115" spans="1:36" hidden="1" x14ac:dyDescent="0.45">
      <c r="A115">
        <v>9917</v>
      </c>
      <c r="B115" t="s">
        <v>58</v>
      </c>
      <c r="C115" t="s">
        <v>46</v>
      </c>
      <c r="D115" t="s">
        <v>24</v>
      </c>
      <c r="E115" t="s">
        <v>47</v>
      </c>
      <c r="F115" t="s">
        <v>275</v>
      </c>
      <c r="G115">
        <v>4</v>
      </c>
      <c r="H115" t="s">
        <v>276</v>
      </c>
      <c r="I115" t="s">
        <v>277</v>
      </c>
      <c r="K115" t="s">
        <v>51</v>
      </c>
      <c r="L115" t="s">
        <v>70</v>
      </c>
      <c r="M115">
        <v>3000000000</v>
      </c>
      <c r="N115">
        <v>300000000</v>
      </c>
      <c r="O115">
        <v>900000000</v>
      </c>
      <c r="P115">
        <v>90000000</v>
      </c>
      <c r="Q115" s="1">
        <v>45535</v>
      </c>
      <c r="R115" s="1">
        <v>45596</v>
      </c>
      <c r="S115">
        <v>30</v>
      </c>
      <c r="U115">
        <v>90000000</v>
      </c>
      <c r="AD115">
        <v>90000000</v>
      </c>
    </row>
    <row r="116" spans="1:36" hidden="1" x14ac:dyDescent="0.45">
      <c r="A116">
        <v>9931</v>
      </c>
      <c r="B116" t="s">
        <v>88</v>
      </c>
      <c r="C116" t="s">
        <v>46</v>
      </c>
      <c r="D116" t="s">
        <v>24</v>
      </c>
      <c r="E116" t="s">
        <v>47</v>
      </c>
      <c r="F116" t="s">
        <v>278</v>
      </c>
      <c r="G116">
        <v>2</v>
      </c>
      <c r="H116" t="s">
        <v>279</v>
      </c>
      <c r="I116" t="s">
        <v>209</v>
      </c>
      <c r="K116" t="s">
        <v>66</v>
      </c>
      <c r="L116" t="s">
        <v>280</v>
      </c>
      <c r="M116">
        <v>800000000</v>
      </c>
      <c r="N116">
        <v>800000000</v>
      </c>
      <c r="O116">
        <v>480000000</v>
      </c>
      <c r="P116">
        <v>480000000</v>
      </c>
      <c r="Q116" s="1">
        <v>45443</v>
      </c>
      <c r="R116" s="1">
        <v>45473</v>
      </c>
      <c r="S116">
        <v>60</v>
      </c>
      <c r="Y116">
        <v>480000000</v>
      </c>
      <c r="AE116">
        <v>480000000</v>
      </c>
    </row>
    <row r="117" spans="1:36" hidden="1" x14ac:dyDescent="0.45">
      <c r="A117">
        <v>9937</v>
      </c>
      <c r="B117" t="s">
        <v>35</v>
      </c>
      <c r="C117" t="s">
        <v>36</v>
      </c>
      <c r="D117" t="s">
        <v>37</v>
      </c>
      <c r="E117" t="s">
        <v>38</v>
      </c>
      <c r="F117" t="s">
        <v>281</v>
      </c>
      <c r="G117">
        <v>2</v>
      </c>
      <c r="H117" t="s">
        <v>282</v>
      </c>
      <c r="I117" t="s">
        <v>283</v>
      </c>
      <c r="K117" t="s">
        <v>66</v>
      </c>
      <c r="L117" t="s">
        <v>284</v>
      </c>
      <c r="M117">
        <v>1636000000</v>
      </c>
      <c r="N117">
        <v>236000000</v>
      </c>
      <c r="O117">
        <v>818000000</v>
      </c>
      <c r="P117">
        <v>118000000</v>
      </c>
      <c r="Q117" s="1">
        <v>45464</v>
      </c>
      <c r="R117" s="1">
        <v>45499</v>
      </c>
      <c r="S117">
        <v>50</v>
      </c>
      <c r="V117">
        <v>118000000</v>
      </c>
      <c r="AH117">
        <v>118000000</v>
      </c>
    </row>
    <row r="118" spans="1:36" hidden="1" x14ac:dyDescent="0.45">
      <c r="A118">
        <v>9938</v>
      </c>
      <c r="B118" t="s">
        <v>35</v>
      </c>
      <c r="C118" t="s">
        <v>36</v>
      </c>
      <c r="D118" t="s">
        <v>37</v>
      </c>
      <c r="E118" t="s">
        <v>38</v>
      </c>
      <c r="F118" t="s">
        <v>285</v>
      </c>
      <c r="G118">
        <v>1</v>
      </c>
      <c r="H118" t="s">
        <v>286</v>
      </c>
      <c r="I118" t="s">
        <v>287</v>
      </c>
      <c r="K118" t="s">
        <v>42</v>
      </c>
      <c r="L118" t="s">
        <v>288</v>
      </c>
      <c r="M118">
        <v>70000000</v>
      </c>
      <c r="N118">
        <v>70000000</v>
      </c>
      <c r="O118">
        <v>35000000</v>
      </c>
      <c r="P118">
        <v>35000000</v>
      </c>
      <c r="Q118" s="1">
        <v>45505</v>
      </c>
      <c r="R118" s="1">
        <v>45527</v>
      </c>
      <c r="S118">
        <v>50</v>
      </c>
      <c r="X118">
        <v>35000000</v>
      </c>
      <c r="AH118">
        <v>35000000</v>
      </c>
    </row>
    <row r="119" spans="1:36" hidden="1" x14ac:dyDescent="0.45">
      <c r="A119">
        <v>9939</v>
      </c>
      <c r="B119" t="s">
        <v>35</v>
      </c>
      <c r="C119" t="s">
        <v>36</v>
      </c>
      <c r="D119" t="s">
        <v>37</v>
      </c>
      <c r="E119" t="s">
        <v>38</v>
      </c>
      <c r="F119" t="s">
        <v>289</v>
      </c>
      <c r="G119">
        <v>1</v>
      </c>
      <c r="H119" t="s">
        <v>290</v>
      </c>
      <c r="I119" t="s">
        <v>291</v>
      </c>
      <c r="K119" t="s">
        <v>42</v>
      </c>
      <c r="L119" t="s">
        <v>288</v>
      </c>
      <c r="M119">
        <v>100000000</v>
      </c>
      <c r="N119">
        <v>100000000</v>
      </c>
      <c r="O119">
        <v>100000000</v>
      </c>
      <c r="P119">
        <v>100000000</v>
      </c>
      <c r="Q119" s="1">
        <v>45408</v>
      </c>
      <c r="R119" s="1">
        <v>45471</v>
      </c>
      <c r="S119">
        <v>100</v>
      </c>
      <c r="X119">
        <v>100000000</v>
      </c>
      <c r="AH119">
        <v>100000000</v>
      </c>
    </row>
    <row r="120" spans="1:36" hidden="1" x14ac:dyDescent="0.45">
      <c r="A120">
        <v>9945</v>
      </c>
      <c r="B120" t="s">
        <v>113</v>
      </c>
      <c r="C120" t="s">
        <v>46</v>
      </c>
      <c r="D120" t="s">
        <v>24</v>
      </c>
      <c r="E120" t="s">
        <v>47</v>
      </c>
      <c r="F120" t="s">
        <v>292</v>
      </c>
      <c r="G120">
        <v>1</v>
      </c>
      <c r="H120" t="s">
        <v>293</v>
      </c>
      <c r="I120" t="s">
        <v>152</v>
      </c>
      <c r="K120" t="s">
        <v>42</v>
      </c>
      <c r="L120" t="s">
        <v>294</v>
      </c>
      <c r="M120">
        <v>1500000000</v>
      </c>
      <c r="N120">
        <v>201818181.59999999</v>
      </c>
      <c r="O120">
        <v>300000000</v>
      </c>
      <c r="P120">
        <v>40363636.32</v>
      </c>
      <c r="Q120" s="1">
        <v>45565</v>
      </c>
      <c r="R120" s="1">
        <v>45596</v>
      </c>
      <c r="S120">
        <v>20</v>
      </c>
      <c r="V120">
        <v>16363636.32</v>
      </c>
      <c r="X120">
        <v>24000000</v>
      </c>
      <c r="AE120">
        <v>24000000</v>
      </c>
      <c r="AJ120">
        <v>16363636.32</v>
      </c>
    </row>
    <row r="121" spans="1:36" hidden="1" x14ac:dyDescent="0.45">
      <c r="A121">
        <v>9946</v>
      </c>
      <c r="B121" t="s">
        <v>113</v>
      </c>
      <c r="C121" t="s">
        <v>46</v>
      </c>
      <c r="D121" t="s">
        <v>24</v>
      </c>
      <c r="E121" t="s">
        <v>47</v>
      </c>
      <c r="F121" t="s">
        <v>292</v>
      </c>
      <c r="G121">
        <v>1</v>
      </c>
      <c r="H121" t="s">
        <v>293</v>
      </c>
      <c r="I121" t="s">
        <v>152</v>
      </c>
      <c r="K121" t="s">
        <v>42</v>
      </c>
      <c r="L121" t="s">
        <v>295</v>
      </c>
      <c r="M121">
        <v>250000000</v>
      </c>
      <c r="N121">
        <v>33636363.600000001</v>
      </c>
      <c r="O121">
        <v>50000000</v>
      </c>
      <c r="P121">
        <v>6727272.7199999997</v>
      </c>
      <c r="Q121" s="1">
        <v>45565</v>
      </c>
      <c r="R121" s="1">
        <v>45596</v>
      </c>
      <c r="S121">
        <v>20</v>
      </c>
      <c r="V121">
        <v>2727272.72</v>
      </c>
      <c r="X121">
        <v>4000000</v>
      </c>
      <c r="AE121">
        <v>4000000</v>
      </c>
      <c r="AJ121">
        <v>2727272.72</v>
      </c>
    </row>
    <row r="122" spans="1:36" hidden="1" x14ac:dyDescent="0.45">
      <c r="A122">
        <v>9947</v>
      </c>
      <c r="B122" t="s">
        <v>113</v>
      </c>
      <c r="C122" t="s">
        <v>46</v>
      </c>
      <c r="D122" t="s">
        <v>24</v>
      </c>
      <c r="E122" t="s">
        <v>47</v>
      </c>
      <c r="F122" t="s">
        <v>292</v>
      </c>
      <c r="G122">
        <v>1</v>
      </c>
      <c r="H122" t="s">
        <v>293</v>
      </c>
      <c r="I122" t="s">
        <v>152</v>
      </c>
      <c r="K122" t="s">
        <v>42</v>
      </c>
      <c r="L122" t="s">
        <v>296</v>
      </c>
      <c r="M122">
        <v>300000000</v>
      </c>
      <c r="N122">
        <v>40363636.32</v>
      </c>
      <c r="O122">
        <v>60000000</v>
      </c>
      <c r="P122">
        <v>8072727.2599999998</v>
      </c>
      <c r="Q122" s="1">
        <v>45565</v>
      </c>
      <c r="R122" s="1">
        <v>45625</v>
      </c>
      <c r="S122">
        <v>20</v>
      </c>
      <c r="V122">
        <v>3272727.26</v>
      </c>
      <c r="X122">
        <v>4800000</v>
      </c>
      <c r="AE122">
        <v>4800000</v>
      </c>
      <c r="AJ122">
        <v>3272727.26</v>
      </c>
    </row>
    <row r="123" spans="1:36" hidden="1" x14ac:dyDescent="0.45">
      <c r="A123">
        <v>9948</v>
      </c>
      <c r="B123" t="s">
        <v>113</v>
      </c>
      <c r="C123" t="s">
        <v>46</v>
      </c>
      <c r="D123" t="s">
        <v>24</v>
      </c>
      <c r="E123" t="s">
        <v>47</v>
      </c>
      <c r="F123" t="s">
        <v>292</v>
      </c>
      <c r="G123">
        <v>1</v>
      </c>
      <c r="H123" t="s">
        <v>293</v>
      </c>
      <c r="I123" t="s">
        <v>152</v>
      </c>
      <c r="K123" t="s">
        <v>42</v>
      </c>
      <c r="L123" t="s">
        <v>297</v>
      </c>
      <c r="M123">
        <v>350000000</v>
      </c>
      <c r="N123">
        <v>47090909.039999999</v>
      </c>
      <c r="O123">
        <v>70000000</v>
      </c>
      <c r="P123">
        <v>9418181.8100000005</v>
      </c>
      <c r="Q123" s="1">
        <v>45565</v>
      </c>
      <c r="R123" s="1">
        <v>45688</v>
      </c>
      <c r="S123">
        <v>20</v>
      </c>
      <c r="V123">
        <v>3818181.81</v>
      </c>
      <c r="X123">
        <v>5600000</v>
      </c>
      <c r="AE123">
        <v>5600000</v>
      </c>
      <c r="AJ123">
        <v>3818181.81</v>
      </c>
    </row>
    <row r="124" spans="1:36" hidden="1" x14ac:dyDescent="0.45">
      <c r="A124">
        <v>9949</v>
      </c>
      <c r="B124" t="s">
        <v>113</v>
      </c>
      <c r="C124" t="s">
        <v>46</v>
      </c>
      <c r="D124" t="s">
        <v>24</v>
      </c>
      <c r="E124" t="s">
        <v>47</v>
      </c>
      <c r="F124" t="s">
        <v>292</v>
      </c>
      <c r="G124">
        <v>1</v>
      </c>
      <c r="H124" t="s">
        <v>293</v>
      </c>
      <c r="I124" t="s">
        <v>152</v>
      </c>
      <c r="K124" t="s">
        <v>42</v>
      </c>
      <c r="L124" t="s">
        <v>298</v>
      </c>
      <c r="M124">
        <v>100000000</v>
      </c>
      <c r="N124">
        <v>13454545.439999999</v>
      </c>
      <c r="O124">
        <v>20000000</v>
      </c>
      <c r="P124">
        <v>2690909.09</v>
      </c>
      <c r="Q124" s="1">
        <v>45565</v>
      </c>
      <c r="R124" s="1">
        <v>45716</v>
      </c>
      <c r="S124">
        <v>20</v>
      </c>
      <c r="V124">
        <v>1090909.0900000001</v>
      </c>
      <c r="X124">
        <v>1600000</v>
      </c>
      <c r="AE124">
        <v>1600000</v>
      </c>
      <c r="AJ124">
        <v>1090909.0900000001</v>
      </c>
    </row>
    <row r="125" spans="1:36" hidden="1" x14ac:dyDescent="0.45">
      <c r="A125">
        <v>9952</v>
      </c>
      <c r="B125" t="s">
        <v>45</v>
      </c>
      <c r="C125" t="s">
        <v>46</v>
      </c>
      <c r="D125" t="s">
        <v>24</v>
      </c>
      <c r="E125" t="s">
        <v>47</v>
      </c>
      <c r="F125" t="s">
        <v>299</v>
      </c>
      <c r="G125">
        <v>3</v>
      </c>
      <c r="H125" t="s">
        <v>300</v>
      </c>
      <c r="I125" t="s">
        <v>95</v>
      </c>
      <c r="K125" t="s">
        <v>146</v>
      </c>
      <c r="L125" t="s">
        <v>112</v>
      </c>
      <c r="M125">
        <v>60000000</v>
      </c>
      <c r="N125">
        <v>60000000</v>
      </c>
      <c r="O125">
        <v>42000000</v>
      </c>
      <c r="P125">
        <v>42000000</v>
      </c>
      <c r="Q125" s="1">
        <v>45625</v>
      </c>
      <c r="R125" s="1">
        <v>45653</v>
      </c>
      <c r="S125">
        <v>70</v>
      </c>
      <c r="X125">
        <v>42000000</v>
      </c>
      <c r="AE125">
        <v>42000000</v>
      </c>
    </row>
    <row r="126" spans="1:36" hidden="1" x14ac:dyDescent="0.45">
      <c r="A126">
        <v>9953</v>
      </c>
      <c r="B126" t="s">
        <v>45</v>
      </c>
      <c r="C126" t="s">
        <v>46</v>
      </c>
      <c r="D126" t="s">
        <v>24</v>
      </c>
      <c r="E126" t="s">
        <v>47</v>
      </c>
      <c r="F126" t="s">
        <v>299</v>
      </c>
      <c r="G126">
        <v>3</v>
      </c>
      <c r="H126" t="s">
        <v>300</v>
      </c>
      <c r="I126" t="s">
        <v>95</v>
      </c>
      <c r="K126" t="s">
        <v>146</v>
      </c>
      <c r="L126" t="s">
        <v>301</v>
      </c>
      <c r="M126">
        <v>140000000</v>
      </c>
      <c r="N126">
        <v>140000000</v>
      </c>
      <c r="O126">
        <v>98000000</v>
      </c>
      <c r="P126">
        <v>98000000</v>
      </c>
      <c r="Q126" s="1">
        <v>45625</v>
      </c>
      <c r="R126" s="1">
        <v>45657</v>
      </c>
      <c r="S126">
        <v>70</v>
      </c>
      <c r="X126">
        <v>98000000</v>
      </c>
      <c r="AE126">
        <v>98000000</v>
      </c>
    </row>
    <row r="127" spans="1:36" hidden="1" x14ac:dyDescent="0.45">
      <c r="A127">
        <v>9956</v>
      </c>
      <c r="B127" t="s">
        <v>88</v>
      </c>
      <c r="C127" t="s">
        <v>46</v>
      </c>
      <c r="D127" t="s">
        <v>24</v>
      </c>
      <c r="E127" t="s">
        <v>47</v>
      </c>
      <c r="F127" t="s">
        <v>302</v>
      </c>
      <c r="G127">
        <v>2</v>
      </c>
      <c r="H127" t="s">
        <v>303</v>
      </c>
      <c r="I127" t="s">
        <v>169</v>
      </c>
      <c r="K127" t="s">
        <v>66</v>
      </c>
      <c r="L127" t="s">
        <v>304</v>
      </c>
      <c r="M127">
        <v>500000000</v>
      </c>
      <c r="N127">
        <v>50000000</v>
      </c>
      <c r="O127">
        <v>100000000</v>
      </c>
      <c r="P127">
        <v>10000000</v>
      </c>
      <c r="Q127" s="1">
        <v>45473</v>
      </c>
      <c r="R127" s="1">
        <v>45504</v>
      </c>
      <c r="S127">
        <v>20</v>
      </c>
      <c r="X127">
        <v>10000000</v>
      </c>
      <c r="AE127">
        <v>10000000</v>
      </c>
    </row>
    <row r="128" spans="1:36" hidden="1" x14ac:dyDescent="0.45">
      <c r="A128">
        <v>9957</v>
      </c>
      <c r="B128" t="s">
        <v>88</v>
      </c>
      <c r="C128" t="s">
        <v>46</v>
      </c>
      <c r="D128" t="s">
        <v>24</v>
      </c>
      <c r="E128" t="s">
        <v>47</v>
      </c>
      <c r="F128" t="s">
        <v>302</v>
      </c>
      <c r="G128">
        <v>2</v>
      </c>
      <c r="H128" t="s">
        <v>303</v>
      </c>
      <c r="I128" t="s">
        <v>169</v>
      </c>
      <c r="K128" t="s">
        <v>66</v>
      </c>
      <c r="L128" t="s">
        <v>305</v>
      </c>
      <c r="M128">
        <v>400000000</v>
      </c>
      <c r="N128">
        <v>40000000</v>
      </c>
      <c r="O128">
        <v>80000000</v>
      </c>
      <c r="P128">
        <v>8000000</v>
      </c>
      <c r="Q128" s="1">
        <v>45473</v>
      </c>
      <c r="R128" s="1">
        <v>45535</v>
      </c>
      <c r="S128">
        <v>20</v>
      </c>
      <c r="X128">
        <v>8000000</v>
      </c>
      <c r="AE128">
        <v>8000000</v>
      </c>
    </row>
    <row r="129" spans="1:36" hidden="1" x14ac:dyDescent="0.45">
      <c r="A129">
        <v>9958</v>
      </c>
      <c r="B129" t="s">
        <v>88</v>
      </c>
      <c r="C129" t="s">
        <v>46</v>
      </c>
      <c r="D129" t="s">
        <v>24</v>
      </c>
      <c r="E129" t="s">
        <v>47</v>
      </c>
      <c r="F129" t="s">
        <v>302</v>
      </c>
      <c r="G129">
        <v>2</v>
      </c>
      <c r="H129" t="s">
        <v>303</v>
      </c>
      <c r="I129" t="s">
        <v>169</v>
      </c>
      <c r="K129" t="s">
        <v>66</v>
      </c>
      <c r="L129" t="s">
        <v>306</v>
      </c>
      <c r="M129">
        <v>400000000</v>
      </c>
      <c r="N129">
        <v>40000000</v>
      </c>
      <c r="O129">
        <v>80000000</v>
      </c>
      <c r="P129">
        <v>8000000</v>
      </c>
      <c r="Q129" s="1">
        <v>45473</v>
      </c>
      <c r="R129" s="1">
        <v>45565</v>
      </c>
      <c r="S129">
        <v>20</v>
      </c>
      <c r="X129">
        <v>8000000</v>
      </c>
      <c r="AE129">
        <v>8000000</v>
      </c>
    </row>
    <row r="130" spans="1:36" hidden="1" x14ac:dyDescent="0.45">
      <c r="A130">
        <v>9959</v>
      </c>
      <c r="B130" t="s">
        <v>88</v>
      </c>
      <c r="C130" t="s">
        <v>46</v>
      </c>
      <c r="D130" t="s">
        <v>24</v>
      </c>
      <c r="E130" t="s">
        <v>47</v>
      </c>
      <c r="F130" t="s">
        <v>302</v>
      </c>
      <c r="G130">
        <v>2</v>
      </c>
      <c r="H130" t="s">
        <v>303</v>
      </c>
      <c r="I130" t="s">
        <v>169</v>
      </c>
      <c r="K130" t="s">
        <v>66</v>
      </c>
      <c r="L130" t="s">
        <v>307</v>
      </c>
      <c r="M130">
        <v>500000000</v>
      </c>
      <c r="N130">
        <v>50000000</v>
      </c>
      <c r="O130">
        <v>100000000</v>
      </c>
      <c r="P130">
        <v>10000000</v>
      </c>
      <c r="Q130" s="1">
        <v>45473</v>
      </c>
      <c r="R130" s="1">
        <v>45596</v>
      </c>
      <c r="S130">
        <v>20</v>
      </c>
      <c r="X130">
        <v>10000000</v>
      </c>
      <c r="AE130">
        <v>10000000</v>
      </c>
    </row>
    <row r="131" spans="1:36" hidden="1" x14ac:dyDescent="0.45">
      <c r="A131">
        <v>9960</v>
      </c>
      <c r="B131" t="s">
        <v>88</v>
      </c>
      <c r="C131" t="s">
        <v>46</v>
      </c>
      <c r="D131" t="s">
        <v>24</v>
      </c>
      <c r="E131" t="s">
        <v>47</v>
      </c>
      <c r="F131" t="s">
        <v>302</v>
      </c>
      <c r="G131">
        <v>2</v>
      </c>
      <c r="H131" t="s">
        <v>303</v>
      </c>
      <c r="I131" t="s">
        <v>169</v>
      </c>
      <c r="K131" t="s">
        <v>66</v>
      </c>
      <c r="L131" t="s">
        <v>308</v>
      </c>
      <c r="M131">
        <v>200000000</v>
      </c>
      <c r="N131">
        <v>20000000</v>
      </c>
      <c r="O131">
        <v>40000000</v>
      </c>
      <c r="P131">
        <v>4000000</v>
      </c>
      <c r="Q131" s="1">
        <v>45473</v>
      </c>
      <c r="R131" s="1">
        <v>45626</v>
      </c>
      <c r="S131">
        <v>20</v>
      </c>
      <c r="X131">
        <v>4000000</v>
      </c>
      <c r="AE131">
        <v>4000000</v>
      </c>
    </row>
    <row r="132" spans="1:36" hidden="1" x14ac:dyDescent="0.45">
      <c r="A132">
        <v>9961</v>
      </c>
      <c r="B132" t="s">
        <v>88</v>
      </c>
      <c r="C132" t="s">
        <v>46</v>
      </c>
      <c r="D132" t="s">
        <v>24</v>
      </c>
      <c r="E132" t="s">
        <v>47</v>
      </c>
      <c r="F132" t="s">
        <v>309</v>
      </c>
      <c r="G132">
        <v>1</v>
      </c>
      <c r="H132" t="s">
        <v>310</v>
      </c>
      <c r="I132" t="s">
        <v>169</v>
      </c>
      <c r="K132" t="s">
        <v>42</v>
      </c>
      <c r="L132" t="s">
        <v>304</v>
      </c>
      <c r="M132">
        <v>500000000</v>
      </c>
      <c r="N132">
        <v>50000000</v>
      </c>
      <c r="O132">
        <v>100000000</v>
      </c>
      <c r="P132">
        <v>10000000</v>
      </c>
      <c r="Q132" s="1">
        <v>45473</v>
      </c>
      <c r="R132" s="1">
        <v>45504</v>
      </c>
      <c r="S132">
        <v>20</v>
      </c>
      <c r="V132">
        <v>10000000</v>
      </c>
      <c r="AJ132">
        <v>10000000</v>
      </c>
    </row>
    <row r="133" spans="1:36" hidden="1" x14ac:dyDescent="0.45">
      <c r="A133">
        <v>9962</v>
      </c>
      <c r="B133" t="s">
        <v>88</v>
      </c>
      <c r="C133" t="s">
        <v>46</v>
      </c>
      <c r="D133" t="s">
        <v>24</v>
      </c>
      <c r="E133" t="s">
        <v>47</v>
      </c>
      <c r="F133" t="s">
        <v>309</v>
      </c>
      <c r="G133">
        <v>1</v>
      </c>
      <c r="H133" t="s">
        <v>310</v>
      </c>
      <c r="I133" t="s">
        <v>169</v>
      </c>
      <c r="K133" t="s">
        <v>42</v>
      </c>
      <c r="L133" t="s">
        <v>305</v>
      </c>
      <c r="M133">
        <v>400000000</v>
      </c>
      <c r="N133">
        <v>40000000</v>
      </c>
      <c r="O133">
        <v>80000000</v>
      </c>
      <c r="P133">
        <v>8000000</v>
      </c>
      <c r="Q133" s="1">
        <v>45473</v>
      </c>
      <c r="R133" s="1">
        <v>45535</v>
      </c>
      <c r="S133">
        <v>20</v>
      </c>
      <c r="V133">
        <v>8000000</v>
      </c>
      <c r="AJ133">
        <v>8000000</v>
      </c>
    </row>
    <row r="134" spans="1:36" hidden="1" x14ac:dyDescent="0.45">
      <c r="A134">
        <v>9963</v>
      </c>
      <c r="B134" t="s">
        <v>88</v>
      </c>
      <c r="C134" t="s">
        <v>46</v>
      </c>
      <c r="D134" t="s">
        <v>24</v>
      </c>
      <c r="E134" t="s">
        <v>47</v>
      </c>
      <c r="F134" t="s">
        <v>309</v>
      </c>
      <c r="G134">
        <v>1</v>
      </c>
      <c r="H134" t="s">
        <v>310</v>
      </c>
      <c r="I134" t="s">
        <v>169</v>
      </c>
      <c r="K134" t="s">
        <v>42</v>
      </c>
      <c r="L134" t="s">
        <v>306</v>
      </c>
      <c r="M134">
        <v>400000000</v>
      </c>
      <c r="N134">
        <v>40000000</v>
      </c>
      <c r="O134">
        <v>80000000</v>
      </c>
      <c r="P134">
        <v>8000000</v>
      </c>
      <c r="Q134" s="1">
        <v>45473</v>
      </c>
      <c r="R134" s="1">
        <v>45565</v>
      </c>
      <c r="S134">
        <v>20</v>
      </c>
      <c r="V134">
        <v>8000000</v>
      </c>
      <c r="AJ134">
        <v>8000000</v>
      </c>
    </row>
    <row r="135" spans="1:36" hidden="1" x14ac:dyDescent="0.45">
      <c r="A135">
        <v>9964</v>
      </c>
      <c r="B135" t="s">
        <v>88</v>
      </c>
      <c r="C135" t="s">
        <v>46</v>
      </c>
      <c r="D135" t="s">
        <v>24</v>
      </c>
      <c r="E135" t="s">
        <v>47</v>
      </c>
      <c r="F135" t="s">
        <v>309</v>
      </c>
      <c r="G135">
        <v>1</v>
      </c>
      <c r="H135" t="s">
        <v>310</v>
      </c>
      <c r="I135" t="s">
        <v>169</v>
      </c>
      <c r="K135" t="s">
        <v>42</v>
      </c>
      <c r="L135" t="s">
        <v>307</v>
      </c>
      <c r="M135">
        <v>500000000</v>
      </c>
      <c r="N135">
        <v>50000000</v>
      </c>
      <c r="O135">
        <v>100000000</v>
      </c>
      <c r="P135">
        <v>10000000</v>
      </c>
      <c r="Q135" s="1">
        <v>45473</v>
      </c>
      <c r="R135" s="1">
        <v>45596</v>
      </c>
      <c r="S135">
        <v>20</v>
      </c>
      <c r="V135">
        <v>10000000</v>
      </c>
      <c r="AJ135">
        <v>10000000</v>
      </c>
    </row>
    <row r="136" spans="1:36" hidden="1" x14ac:dyDescent="0.45">
      <c r="A136">
        <v>9965</v>
      </c>
      <c r="B136" t="s">
        <v>88</v>
      </c>
      <c r="C136" t="s">
        <v>46</v>
      </c>
      <c r="D136" t="s">
        <v>24</v>
      </c>
      <c r="E136" t="s">
        <v>47</v>
      </c>
      <c r="F136" t="s">
        <v>309</v>
      </c>
      <c r="G136">
        <v>1</v>
      </c>
      <c r="H136" t="s">
        <v>310</v>
      </c>
      <c r="I136" t="s">
        <v>169</v>
      </c>
      <c r="K136" t="s">
        <v>42</v>
      </c>
      <c r="L136" t="s">
        <v>308</v>
      </c>
      <c r="M136">
        <v>200000000</v>
      </c>
      <c r="N136">
        <v>20000000</v>
      </c>
      <c r="O136">
        <v>40000000</v>
      </c>
      <c r="P136">
        <v>4000000</v>
      </c>
      <c r="Q136" s="1">
        <v>45473</v>
      </c>
      <c r="R136" s="1">
        <v>45626</v>
      </c>
      <c r="S136">
        <v>20</v>
      </c>
      <c r="V136">
        <v>4000000</v>
      </c>
      <c r="AJ136">
        <v>4000000</v>
      </c>
    </row>
    <row r="137" spans="1:36" hidden="1" x14ac:dyDescent="0.45">
      <c r="A137">
        <v>10012</v>
      </c>
      <c r="B137" t="s">
        <v>311</v>
      </c>
      <c r="C137" t="s">
        <v>36</v>
      </c>
      <c r="D137" t="s">
        <v>37</v>
      </c>
      <c r="E137" t="s">
        <v>38</v>
      </c>
      <c r="F137" t="s">
        <v>312</v>
      </c>
      <c r="G137">
        <v>2</v>
      </c>
      <c r="H137" t="s">
        <v>313</v>
      </c>
      <c r="I137" t="s">
        <v>314</v>
      </c>
      <c r="J137" t="s">
        <v>1133</v>
      </c>
      <c r="K137" t="s">
        <v>66</v>
      </c>
      <c r="L137" t="s">
        <v>220</v>
      </c>
      <c r="M137" s="2">
        <v>127750000</v>
      </c>
      <c r="N137" s="2">
        <v>127750000</v>
      </c>
      <c r="O137" s="2">
        <v>63875000</v>
      </c>
      <c r="P137" s="2">
        <v>63875000</v>
      </c>
      <c r="Q137" s="1">
        <v>46192</v>
      </c>
      <c r="R137" s="1">
        <v>46220</v>
      </c>
      <c r="S137">
        <v>50</v>
      </c>
      <c r="X137">
        <v>63875000</v>
      </c>
      <c r="AH137">
        <v>63875000</v>
      </c>
    </row>
    <row r="138" spans="1:36" hidden="1" x14ac:dyDescent="0.45">
      <c r="A138">
        <v>10013</v>
      </c>
      <c r="B138" t="s">
        <v>311</v>
      </c>
      <c r="C138" t="s">
        <v>36</v>
      </c>
      <c r="D138" t="s">
        <v>37</v>
      </c>
      <c r="E138" t="s">
        <v>38</v>
      </c>
      <c r="F138" t="s">
        <v>312</v>
      </c>
      <c r="G138">
        <v>2</v>
      </c>
      <c r="H138" t="s">
        <v>313</v>
      </c>
      <c r="I138" t="s">
        <v>314</v>
      </c>
      <c r="J138" t="s">
        <v>1133</v>
      </c>
      <c r="K138" t="s">
        <v>66</v>
      </c>
      <c r="L138" t="s">
        <v>315</v>
      </c>
      <c r="M138" s="2">
        <v>127750000</v>
      </c>
      <c r="N138" s="2">
        <v>127750000</v>
      </c>
      <c r="O138" s="2">
        <v>63875000</v>
      </c>
      <c r="P138" s="2">
        <v>63875000</v>
      </c>
      <c r="Q138" s="1">
        <v>46192</v>
      </c>
      <c r="R138" s="1">
        <v>46283</v>
      </c>
      <c r="S138">
        <v>50</v>
      </c>
      <c r="X138">
        <v>63875000</v>
      </c>
      <c r="AH138">
        <v>63875000</v>
      </c>
    </row>
    <row r="139" spans="1:36" hidden="1" x14ac:dyDescent="0.45">
      <c r="A139">
        <v>10030</v>
      </c>
      <c r="B139" t="s">
        <v>45</v>
      </c>
      <c r="C139" t="s">
        <v>46</v>
      </c>
      <c r="D139" t="s">
        <v>24</v>
      </c>
      <c r="E139" t="s">
        <v>47</v>
      </c>
      <c r="F139" t="s">
        <v>53</v>
      </c>
      <c r="G139">
        <v>4</v>
      </c>
      <c r="H139" t="s">
        <v>54</v>
      </c>
      <c r="I139" t="s">
        <v>55</v>
      </c>
      <c r="K139" t="s">
        <v>51</v>
      </c>
      <c r="L139" t="s">
        <v>316</v>
      </c>
      <c r="M139">
        <v>400000000</v>
      </c>
      <c r="N139">
        <v>400000000</v>
      </c>
      <c r="O139">
        <v>80000000</v>
      </c>
      <c r="P139">
        <v>80000000</v>
      </c>
      <c r="Q139" s="1">
        <v>45716</v>
      </c>
      <c r="R139" s="1">
        <v>45471</v>
      </c>
      <c r="S139">
        <v>20</v>
      </c>
      <c r="X139">
        <v>80000000</v>
      </c>
      <c r="AE139">
        <v>80000000</v>
      </c>
    </row>
    <row r="140" spans="1:36" hidden="1" x14ac:dyDescent="0.45">
      <c r="A140">
        <v>10031</v>
      </c>
      <c r="B140" t="s">
        <v>45</v>
      </c>
      <c r="C140" t="s">
        <v>46</v>
      </c>
      <c r="D140" t="s">
        <v>24</v>
      </c>
      <c r="E140" t="s">
        <v>47</v>
      </c>
      <c r="F140" t="s">
        <v>53</v>
      </c>
      <c r="G140">
        <v>4</v>
      </c>
      <c r="H140" t="s">
        <v>54</v>
      </c>
      <c r="I140" t="s">
        <v>55</v>
      </c>
      <c r="K140" t="s">
        <v>51</v>
      </c>
      <c r="L140" t="s">
        <v>317</v>
      </c>
      <c r="M140">
        <v>200000000</v>
      </c>
      <c r="N140">
        <v>200000000</v>
      </c>
      <c r="O140">
        <v>40000000</v>
      </c>
      <c r="P140">
        <v>40000000</v>
      </c>
      <c r="Q140" s="1">
        <v>45716</v>
      </c>
      <c r="R140" s="1">
        <v>45534</v>
      </c>
      <c r="S140">
        <v>20</v>
      </c>
      <c r="X140">
        <v>40000000</v>
      </c>
      <c r="AE140">
        <v>40000000</v>
      </c>
    </row>
    <row r="141" spans="1:36" hidden="1" x14ac:dyDescent="0.45">
      <c r="A141">
        <v>10036</v>
      </c>
      <c r="B141" t="s">
        <v>113</v>
      </c>
      <c r="C141" t="s">
        <v>46</v>
      </c>
      <c r="D141" t="s">
        <v>24</v>
      </c>
      <c r="E141" t="s">
        <v>47</v>
      </c>
      <c r="F141" t="s">
        <v>318</v>
      </c>
      <c r="G141">
        <v>2</v>
      </c>
      <c r="H141" t="s">
        <v>319</v>
      </c>
      <c r="I141" t="s">
        <v>152</v>
      </c>
      <c r="K141" t="s">
        <v>66</v>
      </c>
      <c r="L141" t="s">
        <v>320</v>
      </c>
      <c r="M141">
        <v>50000000</v>
      </c>
      <c r="N141">
        <v>50000000</v>
      </c>
      <c r="O141">
        <v>15000000</v>
      </c>
      <c r="P141">
        <v>15000000</v>
      </c>
      <c r="Q141" s="1">
        <v>45504</v>
      </c>
      <c r="R141" s="1">
        <v>45534</v>
      </c>
      <c r="S141">
        <v>30</v>
      </c>
      <c r="Y141">
        <v>15000000</v>
      </c>
      <c r="AI141">
        <v>15000000</v>
      </c>
    </row>
    <row r="142" spans="1:36" hidden="1" x14ac:dyDescent="0.45">
      <c r="A142">
        <v>10037</v>
      </c>
      <c r="B142" t="s">
        <v>113</v>
      </c>
      <c r="C142" t="s">
        <v>46</v>
      </c>
      <c r="D142" t="s">
        <v>24</v>
      </c>
      <c r="E142" t="s">
        <v>47</v>
      </c>
      <c r="F142" t="s">
        <v>318</v>
      </c>
      <c r="G142">
        <v>2</v>
      </c>
      <c r="H142" t="s">
        <v>319</v>
      </c>
      <c r="I142" t="s">
        <v>152</v>
      </c>
      <c r="K142" t="s">
        <v>66</v>
      </c>
      <c r="L142" t="s">
        <v>321</v>
      </c>
      <c r="M142">
        <v>35000000</v>
      </c>
      <c r="N142">
        <v>35000000</v>
      </c>
      <c r="O142">
        <v>10500000</v>
      </c>
      <c r="P142">
        <v>10500000</v>
      </c>
      <c r="Q142" s="1">
        <v>45504</v>
      </c>
      <c r="R142" s="1">
        <v>45565</v>
      </c>
      <c r="S142">
        <v>30</v>
      </c>
      <c r="Y142">
        <v>10500000</v>
      </c>
      <c r="AI142">
        <v>10500000</v>
      </c>
    </row>
    <row r="143" spans="1:36" hidden="1" x14ac:dyDescent="0.45">
      <c r="A143">
        <v>10038</v>
      </c>
      <c r="B143" t="s">
        <v>113</v>
      </c>
      <c r="C143" t="s">
        <v>46</v>
      </c>
      <c r="D143" t="s">
        <v>24</v>
      </c>
      <c r="E143" t="s">
        <v>47</v>
      </c>
      <c r="F143" t="s">
        <v>318</v>
      </c>
      <c r="G143">
        <v>2</v>
      </c>
      <c r="H143" t="s">
        <v>319</v>
      </c>
      <c r="I143" t="s">
        <v>152</v>
      </c>
      <c r="K143" t="s">
        <v>66</v>
      </c>
      <c r="L143" t="s">
        <v>322</v>
      </c>
      <c r="M143">
        <v>15000000</v>
      </c>
      <c r="N143">
        <v>15000000</v>
      </c>
      <c r="O143">
        <v>4500000</v>
      </c>
      <c r="P143">
        <v>4500000</v>
      </c>
      <c r="Q143" s="1">
        <v>45504</v>
      </c>
      <c r="R143" s="1">
        <v>45596</v>
      </c>
      <c r="S143">
        <v>30</v>
      </c>
      <c r="Y143">
        <v>4500000</v>
      </c>
      <c r="AI143">
        <v>4500000</v>
      </c>
    </row>
    <row r="144" spans="1:36" hidden="1" x14ac:dyDescent="0.45">
      <c r="A144">
        <v>10041</v>
      </c>
      <c r="B144" t="s">
        <v>88</v>
      </c>
      <c r="C144" t="s">
        <v>46</v>
      </c>
      <c r="D144" t="s">
        <v>24</v>
      </c>
      <c r="E144" t="s">
        <v>47</v>
      </c>
      <c r="F144" t="s">
        <v>323</v>
      </c>
      <c r="G144">
        <v>4</v>
      </c>
      <c r="H144" t="s">
        <v>324</v>
      </c>
      <c r="I144" t="s">
        <v>325</v>
      </c>
      <c r="K144" t="s">
        <v>51</v>
      </c>
      <c r="L144" t="s">
        <v>320</v>
      </c>
      <c r="M144">
        <v>1000000000</v>
      </c>
      <c r="N144">
        <v>150000000</v>
      </c>
      <c r="O144">
        <v>200000000</v>
      </c>
      <c r="P144">
        <v>30000000</v>
      </c>
      <c r="Q144" s="1">
        <v>45412</v>
      </c>
      <c r="R144" s="1">
        <v>45534</v>
      </c>
      <c r="S144">
        <v>20</v>
      </c>
      <c r="U144">
        <v>30000000</v>
      </c>
      <c r="AJ144">
        <v>30000000</v>
      </c>
    </row>
    <row r="145" spans="1:36" hidden="1" x14ac:dyDescent="0.45">
      <c r="A145">
        <v>10042</v>
      </c>
      <c r="B145" t="s">
        <v>88</v>
      </c>
      <c r="C145" t="s">
        <v>46</v>
      </c>
      <c r="D145" t="s">
        <v>24</v>
      </c>
      <c r="E145" t="s">
        <v>47</v>
      </c>
      <c r="F145" t="s">
        <v>323</v>
      </c>
      <c r="G145">
        <v>4</v>
      </c>
      <c r="H145" t="s">
        <v>324</v>
      </c>
      <c r="I145" t="s">
        <v>325</v>
      </c>
      <c r="K145" t="s">
        <v>51</v>
      </c>
      <c r="L145" t="s">
        <v>321</v>
      </c>
      <c r="M145">
        <v>700000000</v>
      </c>
      <c r="N145">
        <v>105000000</v>
      </c>
      <c r="O145">
        <v>140000000</v>
      </c>
      <c r="P145">
        <v>21000000</v>
      </c>
      <c r="Q145" s="1">
        <v>45412</v>
      </c>
      <c r="R145" s="1">
        <v>45565</v>
      </c>
      <c r="S145">
        <v>20</v>
      </c>
      <c r="U145">
        <v>21000000</v>
      </c>
      <c r="AJ145">
        <v>21000000</v>
      </c>
    </row>
    <row r="146" spans="1:36" hidden="1" x14ac:dyDescent="0.45">
      <c r="A146">
        <v>10043</v>
      </c>
      <c r="B146" t="s">
        <v>88</v>
      </c>
      <c r="C146" t="s">
        <v>46</v>
      </c>
      <c r="D146" t="s">
        <v>24</v>
      </c>
      <c r="E146" t="s">
        <v>47</v>
      </c>
      <c r="F146" t="s">
        <v>323</v>
      </c>
      <c r="G146">
        <v>4</v>
      </c>
      <c r="H146" t="s">
        <v>324</v>
      </c>
      <c r="I146" t="s">
        <v>325</v>
      </c>
      <c r="K146" t="s">
        <v>51</v>
      </c>
      <c r="L146" t="s">
        <v>322</v>
      </c>
      <c r="M146">
        <v>300000000</v>
      </c>
      <c r="N146">
        <v>45000000</v>
      </c>
      <c r="O146">
        <v>60000000</v>
      </c>
      <c r="P146">
        <v>9000000</v>
      </c>
      <c r="Q146" s="1">
        <v>45412</v>
      </c>
      <c r="R146" s="1">
        <v>45596</v>
      </c>
      <c r="S146">
        <v>20</v>
      </c>
      <c r="U146">
        <v>9000000</v>
      </c>
      <c r="AJ146">
        <v>9000000</v>
      </c>
    </row>
    <row r="147" spans="1:36" hidden="1" x14ac:dyDescent="0.45">
      <c r="A147">
        <v>10044</v>
      </c>
      <c r="B147" t="s">
        <v>88</v>
      </c>
      <c r="C147" t="s">
        <v>46</v>
      </c>
      <c r="D147" t="s">
        <v>24</v>
      </c>
      <c r="E147" t="s">
        <v>47</v>
      </c>
      <c r="F147" t="s">
        <v>326</v>
      </c>
      <c r="G147">
        <v>1</v>
      </c>
      <c r="H147" t="s">
        <v>327</v>
      </c>
      <c r="I147" t="s">
        <v>325</v>
      </c>
      <c r="K147" t="s">
        <v>42</v>
      </c>
      <c r="L147" t="s">
        <v>320</v>
      </c>
      <c r="M147">
        <v>7500000000</v>
      </c>
      <c r="N147">
        <v>750000000</v>
      </c>
      <c r="O147">
        <v>1500000000</v>
      </c>
      <c r="P147">
        <v>150000000</v>
      </c>
      <c r="Q147" s="1">
        <v>45565</v>
      </c>
      <c r="R147" s="1">
        <v>45596</v>
      </c>
      <c r="S147">
        <v>20</v>
      </c>
      <c r="X147">
        <v>150000000</v>
      </c>
      <c r="AC147">
        <v>150000000</v>
      </c>
    </row>
    <row r="148" spans="1:36" hidden="1" x14ac:dyDescent="0.45">
      <c r="A148">
        <v>10045</v>
      </c>
      <c r="B148" t="s">
        <v>88</v>
      </c>
      <c r="C148" t="s">
        <v>46</v>
      </c>
      <c r="D148" t="s">
        <v>24</v>
      </c>
      <c r="E148" t="s">
        <v>47</v>
      </c>
      <c r="F148" t="s">
        <v>326</v>
      </c>
      <c r="G148">
        <v>1</v>
      </c>
      <c r="H148" t="s">
        <v>327</v>
      </c>
      <c r="I148" t="s">
        <v>325</v>
      </c>
      <c r="K148" t="s">
        <v>42</v>
      </c>
      <c r="L148" t="s">
        <v>321</v>
      </c>
      <c r="M148">
        <v>5250000000</v>
      </c>
      <c r="N148">
        <v>525000000</v>
      </c>
      <c r="O148">
        <v>1050000000</v>
      </c>
      <c r="P148">
        <v>105000000</v>
      </c>
      <c r="Q148" s="1">
        <v>45565</v>
      </c>
      <c r="R148" s="1">
        <v>45625</v>
      </c>
      <c r="S148">
        <v>20</v>
      </c>
      <c r="X148">
        <v>105000000</v>
      </c>
      <c r="AC148">
        <v>105000000</v>
      </c>
    </row>
    <row r="149" spans="1:36" hidden="1" x14ac:dyDescent="0.45">
      <c r="A149">
        <v>10046</v>
      </c>
      <c r="B149" t="s">
        <v>88</v>
      </c>
      <c r="C149" t="s">
        <v>46</v>
      </c>
      <c r="D149" t="s">
        <v>24</v>
      </c>
      <c r="E149" t="s">
        <v>47</v>
      </c>
      <c r="F149" t="s">
        <v>326</v>
      </c>
      <c r="G149">
        <v>1</v>
      </c>
      <c r="H149" t="s">
        <v>327</v>
      </c>
      <c r="I149" t="s">
        <v>325</v>
      </c>
      <c r="K149" t="s">
        <v>42</v>
      </c>
      <c r="L149" t="s">
        <v>322</v>
      </c>
      <c r="M149">
        <v>2250000000</v>
      </c>
      <c r="N149">
        <v>225000000</v>
      </c>
      <c r="O149">
        <v>450000000</v>
      </c>
      <c r="P149">
        <v>45000000</v>
      </c>
      <c r="Q149" s="1">
        <v>45565</v>
      </c>
      <c r="R149" s="1">
        <v>45642</v>
      </c>
      <c r="S149">
        <v>20</v>
      </c>
      <c r="X149">
        <v>45000000</v>
      </c>
      <c r="AC149">
        <v>45000000</v>
      </c>
    </row>
    <row r="150" spans="1:36" hidden="1" x14ac:dyDescent="0.45">
      <c r="A150">
        <v>10055</v>
      </c>
      <c r="B150" t="s">
        <v>113</v>
      </c>
      <c r="C150" t="s">
        <v>46</v>
      </c>
      <c r="D150" t="s">
        <v>24</v>
      </c>
      <c r="E150" t="s">
        <v>47</v>
      </c>
      <c r="F150" t="s">
        <v>328</v>
      </c>
      <c r="G150">
        <v>3</v>
      </c>
      <c r="H150" t="s">
        <v>329</v>
      </c>
      <c r="I150" t="s">
        <v>145</v>
      </c>
      <c r="K150" t="s">
        <v>146</v>
      </c>
      <c r="L150" t="s">
        <v>102</v>
      </c>
      <c r="M150">
        <v>273929654.92000002</v>
      </c>
      <c r="N150">
        <v>95555885.489999995</v>
      </c>
      <c r="O150">
        <v>82178896.480000004</v>
      </c>
      <c r="P150">
        <v>28666765.649999999</v>
      </c>
      <c r="Q150" s="1">
        <v>45657</v>
      </c>
      <c r="R150" s="1">
        <v>45657</v>
      </c>
      <c r="S150">
        <v>30</v>
      </c>
      <c r="V150">
        <v>28666765.649999999</v>
      </c>
      <c r="AJ150">
        <v>28666765.649999999</v>
      </c>
    </row>
    <row r="151" spans="1:36" hidden="1" x14ac:dyDescent="0.45">
      <c r="A151">
        <v>10056</v>
      </c>
      <c r="B151" t="s">
        <v>113</v>
      </c>
      <c r="C151" t="s">
        <v>46</v>
      </c>
      <c r="D151" t="s">
        <v>24</v>
      </c>
      <c r="E151" t="s">
        <v>47</v>
      </c>
      <c r="F151" t="s">
        <v>330</v>
      </c>
      <c r="G151">
        <v>3</v>
      </c>
      <c r="H151" t="s">
        <v>331</v>
      </c>
      <c r="I151" t="s">
        <v>145</v>
      </c>
      <c r="K151" t="s">
        <v>146</v>
      </c>
      <c r="L151" t="s">
        <v>102</v>
      </c>
      <c r="M151">
        <v>324421481.72000003</v>
      </c>
      <c r="N151">
        <v>90061569.319999993</v>
      </c>
      <c r="O151">
        <v>97326444.519999996</v>
      </c>
      <c r="P151">
        <v>27018470.800000001</v>
      </c>
      <c r="Q151" s="1">
        <v>45657</v>
      </c>
      <c r="R151" s="1">
        <v>45535</v>
      </c>
      <c r="S151">
        <v>30</v>
      </c>
      <c r="U151">
        <v>27018470.800000001</v>
      </c>
      <c r="AJ151">
        <v>27018470.800000001</v>
      </c>
    </row>
    <row r="152" spans="1:36" hidden="1" x14ac:dyDescent="0.45">
      <c r="A152">
        <v>10074</v>
      </c>
      <c r="B152" t="s">
        <v>45</v>
      </c>
      <c r="C152" t="s">
        <v>46</v>
      </c>
      <c r="D152" t="s">
        <v>24</v>
      </c>
      <c r="E152" t="s">
        <v>47</v>
      </c>
      <c r="F152" t="s">
        <v>332</v>
      </c>
      <c r="G152">
        <v>4</v>
      </c>
      <c r="H152" t="s">
        <v>333</v>
      </c>
      <c r="I152" t="s">
        <v>50</v>
      </c>
      <c r="K152" t="s">
        <v>51</v>
      </c>
      <c r="L152" t="s">
        <v>334</v>
      </c>
      <c r="M152">
        <v>0</v>
      </c>
      <c r="N152">
        <v>235261800</v>
      </c>
      <c r="O152">
        <v>0</v>
      </c>
      <c r="P152">
        <v>117630900</v>
      </c>
      <c r="Q152" s="1">
        <v>45625</v>
      </c>
      <c r="R152" s="1">
        <v>45653</v>
      </c>
      <c r="S152">
        <v>50</v>
      </c>
      <c r="Y152">
        <v>117630900</v>
      </c>
      <c r="AE152">
        <v>117630900</v>
      </c>
    </row>
    <row r="153" spans="1:36" hidden="1" x14ac:dyDescent="0.45">
      <c r="A153">
        <v>10103</v>
      </c>
      <c r="B153" t="s">
        <v>45</v>
      </c>
      <c r="C153" t="s">
        <v>46</v>
      </c>
      <c r="D153" t="s">
        <v>24</v>
      </c>
      <c r="E153" t="s">
        <v>47</v>
      </c>
      <c r="F153" t="s">
        <v>335</v>
      </c>
      <c r="G153">
        <v>4</v>
      </c>
      <c r="H153" t="s">
        <v>336</v>
      </c>
      <c r="I153" t="s">
        <v>50</v>
      </c>
      <c r="K153" t="s">
        <v>51</v>
      </c>
      <c r="L153" t="s">
        <v>136</v>
      </c>
      <c r="M153">
        <v>0</v>
      </c>
      <c r="N153">
        <v>188100000</v>
      </c>
      <c r="O153">
        <v>0</v>
      </c>
      <c r="P153">
        <v>131670000</v>
      </c>
      <c r="Q153" s="1">
        <v>45473</v>
      </c>
      <c r="R153" s="1">
        <v>45504</v>
      </c>
      <c r="S153">
        <v>70</v>
      </c>
      <c r="Y153">
        <v>131670000</v>
      </c>
      <c r="AE153">
        <v>131670000</v>
      </c>
    </row>
    <row r="154" spans="1:36" hidden="1" x14ac:dyDescent="0.45">
      <c r="A154">
        <v>10104</v>
      </c>
      <c r="B154" t="s">
        <v>45</v>
      </c>
      <c r="C154" t="s">
        <v>46</v>
      </c>
      <c r="D154" t="s">
        <v>24</v>
      </c>
      <c r="E154" t="s">
        <v>47</v>
      </c>
      <c r="F154" t="s">
        <v>337</v>
      </c>
      <c r="G154">
        <v>4</v>
      </c>
      <c r="H154" t="s">
        <v>338</v>
      </c>
      <c r="I154" t="s">
        <v>50</v>
      </c>
      <c r="K154" t="s">
        <v>51</v>
      </c>
      <c r="L154" t="s">
        <v>136</v>
      </c>
      <c r="M154">
        <v>188100000</v>
      </c>
      <c r="N154">
        <v>188100000</v>
      </c>
      <c r="O154">
        <v>131670000</v>
      </c>
      <c r="P154">
        <v>131670000</v>
      </c>
      <c r="Q154" s="1">
        <v>45504</v>
      </c>
      <c r="R154" s="1">
        <v>45535</v>
      </c>
      <c r="S154">
        <v>70</v>
      </c>
      <c r="Y154">
        <v>131670000</v>
      </c>
      <c r="AE154">
        <v>131670000</v>
      </c>
    </row>
    <row r="155" spans="1:36" hidden="1" x14ac:dyDescent="0.45">
      <c r="A155">
        <v>10105</v>
      </c>
      <c r="B155" t="s">
        <v>45</v>
      </c>
      <c r="C155" t="s">
        <v>46</v>
      </c>
      <c r="D155" t="s">
        <v>24</v>
      </c>
      <c r="E155" t="s">
        <v>47</v>
      </c>
      <c r="F155" t="s">
        <v>339</v>
      </c>
      <c r="G155">
        <v>4</v>
      </c>
      <c r="H155" t="s">
        <v>340</v>
      </c>
      <c r="I155" t="s">
        <v>50</v>
      </c>
      <c r="K155" t="s">
        <v>51</v>
      </c>
      <c r="L155" t="s">
        <v>136</v>
      </c>
      <c r="M155">
        <v>188100000</v>
      </c>
      <c r="N155">
        <v>188100000</v>
      </c>
      <c r="O155">
        <v>131670000</v>
      </c>
      <c r="P155">
        <v>131670000</v>
      </c>
      <c r="Q155" s="1">
        <v>45535</v>
      </c>
      <c r="R155" s="1">
        <v>45565</v>
      </c>
      <c r="S155">
        <v>70</v>
      </c>
      <c r="Y155">
        <v>131670000</v>
      </c>
      <c r="AE155">
        <v>131670000</v>
      </c>
    </row>
    <row r="156" spans="1:36" hidden="1" x14ac:dyDescent="0.45">
      <c r="A156">
        <v>10106</v>
      </c>
      <c r="B156" t="s">
        <v>45</v>
      </c>
      <c r="C156" t="s">
        <v>46</v>
      </c>
      <c r="D156" t="s">
        <v>24</v>
      </c>
      <c r="E156" t="s">
        <v>47</v>
      </c>
      <c r="F156" t="s">
        <v>341</v>
      </c>
      <c r="G156">
        <v>4</v>
      </c>
      <c r="H156" t="s">
        <v>342</v>
      </c>
      <c r="I156" t="s">
        <v>50</v>
      </c>
      <c r="K156" t="s">
        <v>51</v>
      </c>
      <c r="L156" t="s">
        <v>136</v>
      </c>
      <c r="M156">
        <v>188100000</v>
      </c>
      <c r="N156">
        <v>188100000</v>
      </c>
      <c r="O156">
        <v>131670000</v>
      </c>
      <c r="P156">
        <v>131670000</v>
      </c>
      <c r="Q156" s="1">
        <v>45596</v>
      </c>
      <c r="R156" s="1">
        <v>45626</v>
      </c>
      <c r="S156">
        <v>70</v>
      </c>
      <c r="Y156">
        <v>131670000</v>
      </c>
      <c r="AE156">
        <v>131670000</v>
      </c>
    </row>
    <row r="157" spans="1:36" hidden="1" x14ac:dyDescent="0.45">
      <c r="A157">
        <v>10107</v>
      </c>
      <c r="B157" t="s">
        <v>45</v>
      </c>
      <c r="C157" t="s">
        <v>46</v>
      </c>
      <c r="D157" t="s">
        <v>24</v>
      </c>
      <c r="E157" t="s">
        <v>47</v>
      </c>
      <c r="F157" t="s">
        <v>343</v>
      </c>
      <c r="G157">
        <v>4</v>
      </c>
      <c r="H157" t="s">
        <v>344</v>
      </c>
      <c r="I157" t="s">
        <v>50</v>
      </c>
      <c r="K157" t="s">
        <v>51</v>
      </c>
      <c r="L157" t="s">
        <v>136</v>
      </c>
      <c r="M157">
        <v>188100000</v>
      </c>
      <c r="N157">
        <v>188100000</v>
      </c>
      <c r="O157">
        <v>131670000</v>
      </c>
      <c r="P157">
        <v>131670000</v>
      </c>
      <c r="Q157" s="1">
        <v>45626</v>
      </c>
      <c r="R157" s="1">
        <v>45657</v>
      </c>
      <c r="S157">
        <v>70</v>
      </c>
      <c r="Y157">
        <v>131670000</v>
      </c>
      <c r="AE157">
        <v>131670000</v>
      </c>
    </row>
    <row r="158" spans="1:36" hidden="1" x14ac:dyDescent="0.45">
      <c r="A158">
        <v>10108</v>
      </c>
      <c r="B158" t="s">
        <v>45</v>
      </c>
      <c r="C158" t="s">
        <v>46</v>
      </c>
      <c r="D158" t="s">
        <v>24</v>
      </c>
      <c r="E158" t="s">
        <v>47</v>
      </c>
      <c r="F158" t="s">
        <v>345</v>
      </c>
      <c r="G158">
        <v>4</v>
      </c>
      <c r="H158" t="s">
        <v>346</v>
      </c>
      <c r="I158" t="s">
        <v>50</v>
      </c>
      <c r="K158" t="s">
        <v>51</v>
      </c>
      <c r="L158" t="s">
        <v>136</v>
      </c>
      <c r="M158">
        <v>188100000</v>
      </c>
      <c r="N158">
        <v>188100000</v>
      </c>
      <c r="O158">
        <v>131670000</v>
      </c>
      <c r="P158">
        <v>131670000</v>
      </c>
      <c r="Q158" s="1">
        <v>45657</v>
      </c>
      <c r="R158" s="1">
        <v>45688</v>
      </c>
      <c r="S158">
        <v>70</v>
      </c>
      <c r="Y158">
        <v>131670000</v>
      </c>
      <c r="AE158">
        <v>131670000</v>
      </c>
    </row>
    <row r="159" spans="1:36" hidden="1" x14ac:dyDescent="0.45">
      <c r="A159">
        <v>10109</v>
      </c>
      <c r="B159" t="s">
        <v>45</v>
      </c>
      <c r="C159" t="s">
        <v>46</v>
      </c>
      <c r="D159" t="s">
        <v>24</v>
      </c>
      <c r="E159" t="s">
        <v>47</v>
      </c>
      <c r="F159" t="s">
        <v>347</v>
      </c>
      <c r="G159">
        <v>4</v>
      </c>
      <c r="H159" t="s">
        <v>348</v>
      </c>
      <c r="I159" t="s">
        <v>50</v>
      </c>
      <c r="K159" t="s">
        <v>51</v>
      </c>
      <c r="L159" t="s">
        <v>349</v>
      </c>
      <c r="M159">
        <v>85500000</v>
      </c>
      <c r="N159">
        <v>85500000</v>
      </c>
      <c r="O159">
        <v>59850000</v>
      </c>
      <c r="P159">
        <v>59850000</v>
      </c>
      <c r="Q159" s="1">
        <v>45688</v>
      </c>
      <c r="R159" s="1">
        <v>45716</v>
      </c>
      <c r="S159">
        <v>70</v>
      </c>
      <c r="Y159">
        <v>59850000</v>
      </c>
      <c r="AE159">
        <v>59850000</v>
      </c>
    </row>
    <row r="160" spans="1:36" hidden="1" x14ac:dyDescent="0.45">
      <c r="A160">
        <v>10131</v>
      </c>
      <c r="B160" t="s">
        <v>88</v>
      </c>
      <c r="C160" t="s">
        <v>46</v>
      </c>
      <c r="D160" t="s">
        <v>24</v>
      </c>
      <c r="E160" t="s">
        <v>47</v>
      </c>
      <c r="F160" t="s">
        <v>350</v>
      </c>
      <c r="G160">
        <v>3</v>
      </c>
      <c r="H160" t="s">
        <v>351</v>
      </c>
      <c r="I160" t="s">
        <v>169</v>
      </c>
      <c r="K160" t="s">
        <v>146</v>
      </c>
      <c r="L160" t="s">
        <v>108</v>
      </c>
      <c r="M160">
        <v>90000000</v>
      </c>
      <c r="N160">
        <v>90000000</v>
      </c>
      <c r="O160">
        <v>18000000</v>
      </c>
      <c r="P160">
        <v>18000000</v>
      </c>
      <c r="Q160" s="1">
        <v>45473</v>
      </c>
      <c r="R160" s="1">
        <v>45535</v>
      </c>
      <c r="S160">
        <v>20</v>
      </c>
      <c r="X160">
        <v>18000000</v>
      </c>
      <c r="AC160">
        <v>18000000</v>
      </c>
    </row>
    <row r="161" spans="1:35" hidden="1" x14ac:dyDescent="0.45">
      <c r="A161">
        <v>10133</v>
      </c>
      <c r="B161" t="s">
        <v>121</v>
      </c>
      <c r="C161" t="s">
        <v>36</v>
      </c>
      <c r="D161" t="s">
        <v>37</v>
      </c>
      <c r="E161" t="s">
        <v>38</v>
      </c>
      <c r="F161" t="s">
        <v>352</v>
      </c>
      <c r="G161">
        <v>2</v>
      </c>
      <c r="H161" t="s">
        <v>353</v>
      </c>
      <c r="I161" t="s">
        <v>354</v>
      </c>
      <c r="K161" t="s">
        <v>66</v>
      </c>
      <c r="L161" t="s">
        <v>102</v>
      </c>
      <c r="M161">
        <v>100000000</v>
      </c>
      <c r="N161">
        <v>100000000</v>
      </c>
      <c r="O161">
        <v>50000000</v>
      </c>
      <c r="P161">
        <v>50000000</v>
      </c>
      <c r="Q161" s="1">
        <v>45471</v>
      </c>
      <c r="R161" s="1">
        <v>45460</v>
      </c>
      <c r="S161">
        <v>50</v>
      </c>
      <c r="X161">
        <v>50000000</v>
      </c>
      <c r="AH161">
        <v>50000000</v>
      </c>
    </row>
    <row r="162" spans="1:35" hidden="1" x14ac:dyDescent="0.45">
      <c r="A162">
        <v>10134</v>
      </c>
      <c r="B162" t="s">
        <v>88</v>
      </c>
      <c r="C162" t="s">
        <v>46</v>
      </c>
      <c r="D162" t="s">
        <v>24</v>
      </c>
      <c r="E162" t="s">
        <v>47</v>
      </c>
      <c r="F162" t="s">
        <v>355</v>
      </c>
      <c r="G162">
        <v>2</v>
      </c>
      <c r="H162" t="s">
        <v>356</v>
      </c>
      <c r="I162" t="s">
        <v>91</v>
      </c>
      <c r="K162" t="s">
        <v>66</v>
      </c>
      <c r="L162" t="s">
        <v>108</v>
      </c>
      <c r="M162">
        <v>140000000</v>
      </c>
      <c r="N162">
        <v>140000000</v>
      </c>
      <c r="O162">
        <v>28000000</v>
      </c>
      <c r="P162">
        <v>28000000</v>
      </c>
      <c r="Q162" s="1">
        <v>45443</v>
      </c>
      <c r="R162" s="1">
        <v>45473</v>
      </c>
      <c r="S162">
        <v>20</v>
      </c>
      <c r="X162">
        <v>28000000</v>
      </c>
      <c r="AE162">
        <v>28000000</v>
      </c>
    </row>
    <row r="163" spans="1:35" hidden="1" x14ac:dyDescent="0.45">
      <c r="A163">
        <v>10168</v>
      </c>
      <c r="B163" t="s">
        <v>45</v>
      </c>
      <c r="C163" t="s">
        <v>46</v>
      </c>
      <c r="D163" t="s">
        <v>24</v>
      </c>
      <c r="E163" t="s">
        <v>47</v>
      </c>
      <c r="F163" t="s">
        <v>357</v>
      </c>
      <c r="G163">
        <v>1</v>
      </c>
      <c r="H163" t="s">
        <v>358</v>
      </c>
      <c r="I163" t="s">
        <v>55</v>
      </c>
      <c r="K163" t="s">
        <v>42</v>
      </c>
      <c r="L163" t="s">
        <v>77</v>
      </c>
      <c r="M163">
        <v>57000000</v>
      </c>
      <c r="N163">
        <v>57000000</v>
      </c>
      <c r="O163">
        <v>17100000</v>
      </c>
      <c r="P163">
        <v>17100000</v>
      </c>
      <c r="Q163" s="1">
        <v>45534</v>
      </c>
      <c r="R163" s="1">
        <v>45562</v>
      </c>
      <c r="S163">
        <v>30</v>
      </c>
      <c r="X163">
        <v>17100000</v>
      </c>
      <c r="AE163">
        <v>17100000</v>
      </c>
    </row>
    <row r="164" spans="1:35" hidden="1" x14ac:dyDescent="0.45">
      <c r="A164">
        <v>10169</v>
      </c>
      <c r="B164" t="s">
        <v>45</v>
      </c>
      <c r="C164" t="s">
        <v>46</v>
      </c>
      <c r="D164" t="s">
        <v>24</v>
      </c>
      <c r="E164" t="s">
        <v>47</v>
      </c>
      <c r="F164" t="s">
        <v>357</v>
      </c>
      <c r="G164">
        <v>1</v>
      </c>
      <c r="H164" t="s">
        <v>358</v>
      </c>
      <c r="I164" t="s">
        <v>55</v>
      </c>
      <c r="K164" t="s">
        <v>42</v>
      </c>
      <c r="L164" t="s">
        <v>359</v>
      </c>
      <c r="M164">
        <v>142500000</v>
      </c>
      <c r="N164">
        <v>142500000</v>
      </c>
      <c r="O164">
        <v>42750000</v>
      </c>
      <c r="P164">
        <v>42750000</v>
      </c>
      <c r="Q164" s="1">
        <v>45534</v>
      </c>
      <c r="R164" s="1">
        <v>45596</v>
      </c>
      <c r="S164">
        <v>30</v>
      </c>
      <c r="X164">
        <v>42750000</v>
      </c>
      <c r="AE164">
        <v>42750000</v>
      </c>
    </row>
    <row r="165" spans="1:35" hidden="1" x14ac:dyDescent="0.45">
      <c r="A165">
        <v>10170</v>
      </c>
      <c r="B165" t="s">
        <v>45</v>
      </c>
      <c r="C165" t="s">
        <v>46</v>
      </c>
      <c r="D165" t="s">
        <v>24</v>
      </c>
      <c r="E165" t="s">
        <v>47</v>
      </c>
      <c r="F165" t="s">
        <v>357</v>
      </c>
      <c r="G165">
        <v>1</v>
      </c>
      <c r="H165" t="s">
        <v>358</v>
      </c>
      <c r="I165" t="s">
        <v>55</v>
      </c>
      <c r="K165" t="s">
        <v>42</v>
      </c>
      <c r="L165" t="s">
        <v>360</v>
      </c>
      <c r="M165">
        <v>85500000</v>
      </c>
      <c r="N165">
        <v>85500000</v>
      </c>
      <c r="O165">
        <v>25650000</v>
      </c>
      <c r="P165">
        <v>25650000</v>
      </c>
      <c r="Q165" s="1">
        <v>45534</v>
      </c>
      <c r="R165" s="1">
        <v>45625</v>
      </c>
      <c r="S165">
        <v>30</v>
      </c>
      <c r="X165">
        <v>25650000</v>
      </c>
      <c r="AE165">
        <v>25650000</v>
      </c>
    </row>
    <row r="166" spans="1:35" hidden="1" x14ac:dyDescent="0.45">
      <c r="A166">
        <v>10177</v>
      </c>
      <c r="B166" t="s">
        <v>121</v>
      </c>
      <c r="C166" t="s">
        <v>36</v>
      </c>
      <c r="D166" t="s">
        <v>37</v>
      </c>
      <c r="E166" t="s">
        <v>38</v>
      </c>
      <c r="F166" t="s">
        <v>361</v>
      </c>
      <c r="G166">
        <v>2</v>
      </c>
      <c r="H166" t="s">
        <v>362</v>
      </c>
      <c r="I166" t="s">
        <v>363</v>
      </c>
      <c r="K166" t="s">
        <v>66</v>
      </c>
      <c r="L166" t="s">
        <v>102</v>
      </c>
      <c r="M166">
        <v>3000000000</v>
      </c>
      <c r="N166">
        <v>3000000000</v>
      </c>
      <c r="O166">
        <v>1500000000</v>
      </c>
      <c r="P166">
        <v>1500000000</v>
      </c>
      <c r="Q166" s="1">
        <v>45565</v>
      </c>
      <c r="R166" s="1">
        <v>45596</v>
      </c>
      <c r="S166">
        <v>50</v>
      </c>
      <c r="X166">
        <v>1500000000</v>
      </c>
      <c r="AH166">
        <v>1500000000</v>
      </c>
    </row>
    <row r="167" spans="1:35" hidden="1" x14ac:dyDescent="0.45">
      <c r="A167">
        <v>10180</v>
      </c>
      <c r="B167" t="s">
        <v>121</v>
      </c>
      <c r="C167" t="s">
        <v>36</v>
      </c>
      <c r="D167" t="s">
        <v>37</v>
      </c>
      <c r="E167" t="s">
        <v>38</v>
      </c>
      <c r="F167" t="s">
        <v>364</v>
      </c>
      <c r="G167">
        <v>2</v>
      </c>
      <c r="H167" t="s">
        <v>365</v>
      </c>
      <c r="I167" t="s">
        <v>181</v>
      </c>
      <c r="K167" t="s">
        <v>66</v>
      </c>
      <c r="L167" t="s">
        <v>102</v>
      </c>
      <c r="M167">
        <v>50000000</v>
      </c>
      <c r="N167">
        <v>25000000</v>
      </c>
      <c r="O167">
        <v>25000000</v>
      </c>
      <c r="P167">
        <v>12500000</v>
      </c>
      <c r="Q167" s="1">
        <v>45415</v>
      </c>
      <c r="R167" s="1">
        <v>45422</v>
      </c>
      <c r="S167">
        <v>50</v>
      </c>
      <c r="V167">
        <v>12500000</v>
      </c>
      <c r="AH167">
        <v>12500000</v>
      </c>
    </row>
    <row r="168" spans="1:35" hidden="1" x14ac:dyDescent="0.45">
      <c r="A168">
        <v>10195</v>
      </c>
      <c r="B168" t="s">
        <v>113</v>
      </c>
      <c r="C168" t="s">
        <v>46</v>
      </c>
      <c r="D168" t="s">
        <v>24</v>
      </c>
      <c r="E168" t="s">
        <v>47</v>
      </c>
      <c r="F168" t="s">
        <v>366</v>
      </c>
      <c r="G168">
        <v>2</v>
      </c>
      <c r="H168" t="s">
        <v>367</v>
      </c>
      <c r="I168" t="s">
        <v>152</v>
      </c>
      <c r="K168" t="s">
        <v>66</v>
      </c>
      <c r="L168" t="s">
        <v>136</v>
      </c>
      <c r="M168">
        <v>1875000000</v>
      </c>
      <c r="N168">
        <v>1875000000</v>
      </c>
      <c r="O168">
        <v>375000000</v>
      </c>
      <c r="P168">
        <v>375000000</v>
      </c>
      <c r="Q168" s="1">
        <v>45565</v>
      </c>
      <c r="R168" s="1">
        <v>45596</v>
      </c>
      <c r="S168">
        <v>20</v>
      </c>
      <c r="Y168">
        <v>375000000</v>
      </c>
      <c r="AI168">
        <v>375000000</v>
      </c>
    </row>
    <row r="169" spans="1:35" hidden="1" x14ac:dyDescent="0.45">
      <c r="A169">
        <v>10196</v>
      </c>
      <c r="B169" t="s">
        <v>88</v>
      </c>
      <c r="C169" t="s">
        <v>46</v>
      </c>
      <c r="D169" t="s">
        <v>24</v>
      </c>
      <c r="E169" t="s">
        <v>47</v>
      </c>
      <c r="F169" t="s">
        <v>368</v>
      </c>
      <c r="G169">
        <v>3</v>
      </c>
      <c r="H169" t="s">
        <v>369</v>
      </c>
      <c r="I169" t="s">
        <v>370</v>
      </c>
      <c r="K169" t="s">
        <v>146</v>
      </c>
      <c r="L169" t="s">
        <v>371</v>
      </c>
      <c r="M169">
        <v>150000000</v>
      </c>
      <c r="N169">
        <v>150000000</v>
      </c>
      <c r="O169">
        <v>45000000</v>
      </c>
      <c r="P169">
        <v>45000000</v>
      </c>
      <c r="Q169" s="1">
        <v>45504</v>
      </c>
      <c r="R169" s="1">
        <v>45504</v>
      </c>
      <c r="S169">
        <v>30</v>
      </c>
      <c r="Y169">
        <v>45000000</v>
      </c>
      <c r="AE169">
        <v>45000000</v>
      </c>
    </row>
    <row r="170" spans="1:35" hidden="1" x14ac:dyDescent="0.45">
      <c r="A170">
        <v>10197</v>
      </c>
      <c r="B170" t="s">
        <v>88</v>
      </c>
      <c r="C170" t="s">
        <v>46</v>
      </c>
      <c r="D170" t="s">
        <v>24</v>
      </c>
      <c r="E170" t="s">
        <v>47</v>
      </c>
      <c r="F170" t="s">
        <v>368</v>
      </c>
      <c r="G170">
        <v>3</v>
      </c>
      <c r="H170" t="s">
        <v>369</v>
      </c>
      <c r="I170" t="s">
        <v>370</v>
      </c>
      <c r="K170" t="s">
        <v>146</v>
      </c>
      <c r="L170" t="s">
        <v>372</v>
      </c>
      <c r="M170">
        <v>150000000</v>
      </c>
      <c r="N170">
        <v>150000000</v>
      </c>
      <c r="O170">
        <v>45000000</v>
      </c>
      <c r="P170">
        <v>45000000</v>
      </c>
      <c r="Q170" s="1">
        <v>45504</v>
      </c>
      <c r="R170" s="1">
        <v>45626</v>
      </c>
      <c r="S170">
        <v>30</v>
      </c>
      <c r="Y170">
        <v>45000000</v>
      </c>
      <c r="AE170">
        <v>45000000</v>
      </c>
    </row>
    <row r="171" spans="1:35" hidden="1" x14ac:dyDescent="0.45">
      <c r="A171">
        <v>10198</v>
      </c>
      <c r="B171" t="s">
        <v>88</v>
      </c>
      <c r="C171" t="s">
        <v>46</v>
      </c>
      <c r="D171" t="s">
        <v>24</v>
      </c>
      <c r="E171" t="s">
        <v>47</v>
      </c>
      <c r="F171" t="s">
        <v>368</v>
      </c>
      <c r="G171">
        <v>3</v>
      </c>
      <c r="H171" t="s">
        <v>369</v>
      </c>
      <c r="I171" t="s">
        <v>370</v>
      </c>
      <c r="K171" t="s">
        <v>146</v>
      </c>
      <c r="L171" t="s">
        <v>373</v>
      </c>
      <c r="M171">
        <v>150000000</v>
      </c>
      <c r="N171">
        <v>150000000</v>
      </c>
      <c r="O171">
        <v>45000000</v>
      </c>
      <c r="P171">
        <v>45000000</v>
      </c>
      <c r="Q171" s="1">
        <v>45504</v>
      </c>
      <c r="R171" s="1">
        <v>45565</v>
      </c>
      <c r="S171">
        <v>30</v>
      </c>
      <c r="Y171">
        <v>45000000</v>
      </c>
      <c r="AE171">
        <v>45000000</v>
      </c>
    </row>
    <row r="172" spans="1:35" hidden="1" x14ac:dyDescent="0.45">
      <c r="A172">
        <v>10199</v>
      </c>
      <c r="B172" t="s">
        <v>88</v>
      </c>
      <c r="C172" t="s">
        <v>46</v>
      </c>
      <c r="D172" t="s">
        <v>24</v>
      </c>
      <c r="E172" t="s">
        <v>47</v>
      </c>
      <c r="F172" t="s">
        <v>368</v>
      </c>
      <c r="G172">
        <v>3</v>
      </c>
      <c r="H172" t="s">
        <v>369</v>
      </c>
      <c r="I172" t="s">
        <v>370</v>
      </c>
      <c r="K172" t="s">
        <v>146</v>
      </c>
      <c r="L172" t="s">
        <v>374</v>
      </c>
      <c r="M172">
        <v>50000000</v>
      </c>
      <c r="N172">
        <v>50000000</v>
      </c>
      <c r="O172">
        <v>15000000</v>
      </c>
      <c r="P172">
        <v>15000000</v>
      </c>
      <c r="Q172" s="1">
        <v>45504</v>
      </c>
      <c r="R172" s="1">
        <v>45657</v>
      </c>
      <c r="S172">
        <v>30</v>
      </c>
      <c r="Y172">
        <v>15000000</v>
      </c>
      <c r="AE172">
        <v>15000000</v>
      </c>
    </row>
    <row r="173" spans="1:35" hidden="1" x14ac:dyDescent="0.45">
      <c r="A173">
        <v>10200</v>
      </c>
      <c r="B173" t="s">
        <v>58</v>
      </c>
      <c r="C173" t="s">
        <v>46</v>
      </c>
      <c r="D173" t="s">
        <v>24</v>
      </c>
      <c r="E173" t="s">
        <v>47</v>
      </c>
      <c r="F173" t="s">
        <v>375</v>
      </c>
      <c r="G173">
        <v>3</v>
      </c>
      <c r="H173" t="s">
        <v>376</v>
      </c>
      <c r="I173" t="s">
        <v>165</v>
      </c>
      <c r="K173" t="s">
        <v>146</v>
      </c>
      <c r="L173" t="s">
        <v>43</v>
      </c>
      <c r="M173">
        <v>25000000</v>
      </c>
      <c r="N173">
        <v>25000000</v>
      </c>
      <c r="O173">
        <v>20000000</v>
      </c>
      <c r="P173">
        <v>20000000</v>
      </c>
      <c r="Q173" s="1">
        <v>45443</v>
      </c>
      <c r="R173" s="1">
        <v>45473</v>
      </c>
      <c r="S173">
        <v>80</v>
      </c>
      <c r="Y173">
        <v>20000000</v>
      </c>
      <c r="AE173">
        <v>20000000</v>
      </c>
    </row>
    <row r="174" spans="1:35" hidden="1" x14ac:dyDescent="0.45">
      <c r="A174">
        <v>10201</v>
      </c>
      <c r="B174" t="s">
        <v>121</v>
      </c>
      <c r="C174" t="s">
        <v>36</v>
      </c>
      <c r="D174" t="s">
        <v>37</v>
      </c>
      <c r="E174" t="s">
        <v>38</v>
      </c>
      <c r="F174" t="s">
        <v>377</v>
      </c>
      <c r="G174">
        <v>1</v>
      </c>
      <c r="H174" t="s">
        <v>378</v>
      </c>
      <c r="I174" t="s">
        <v>287</v>
      </c>
      <c r="K174" t="s">
        <v>42</v>
      </c>
      <c r="L174" t="s">
        <v>102</v>
      </c>
      <c r="M174">
        <v>100000000</v>
      </c>
      <c r="N174">
        <v>100000000</v>
      </c>
      <c r="O174">
        <v>50000000</v>
      </c>
      <c r="P174">
        <v>50000000</v>
      </c>
      <c r="Q174" s="1">
        <v>45506</v>
      </c>
      <c r="R174" s="1">
        <v>45520</v>
      </c>
      <c r="S174">
        <v>50</v>
      </c>
      <c r="X174">
        <v>50000000</v>
      </c>
      <c r="AH174">
        <v>50000000</v>
      </c>
    </row>
    <row r="175" spans="1:35" hidden="1" x14ac:dyDescent="0.45">
      <c r="A175">
        <v>10202</v>
      </c>
      <c r="B175" t="s">
        <v>88</v>
      </c>
      <c r="C175" t="s">
        <v>46</v>
      </c>
      <c r="D175" t="s">
        <v>24</v>
      </c>
      <c r="E175" t="s">
        <v>47</v>
      </c>
      <c r="F175" t="s">
        <v>350</v>
      </c>
      <c r="G175">
        <v>3</v>
      </c>
      <c r="H175" t="s">
        <v>351</v>
      </c>
      <c r="I175" t="s">
        <v>169</v>
      </c>
      <c r="K175" t="s">
        <v>146</v>
      </c>
      <c r="L175" t="s">
        <v>306</v>
      </c>
      <c r="M175">
        <v>90000000</v>
      </c>
      <c r="N175">
        <v>90000000</v>
      </c>
      <c r="O175">
        <v>18000000</v>
      </c>
      <c r="P175">
        <v>18000000</v>
      </c>
      <c r="Q175" s="1">
        <v>45473</v>
      </c>
      <c r="R175" s="1">
        <v>45596</v>
      </c>
      <c r="S175">
        <v>20</v>
      </c>
      <c r="X175">
        <v>18000000</v>
      </c>
      <c r="AC175">
        <v>18000000</v>
      </c>
    </row>
    <row r="176" spans="1:35" hidden="1" x14ac:dyDescent="0.45">
      <c r="A176">
        <v>10203</v>
      </c>
      <c r="B176" t="s">
        <v>88</v>
      </c>
      <c r="C176" t="s">
        <v>46</v>
      </c>
      <c r="D176" t="s">
        <v>24</v>
      </c>
      <c r="E176" t="s">
        <v>47</v>
      </c>
      <c r="F176" t="s">
        <v>350</v>
      </c>
      <c r="G176">
        <v>3</v>
      </c>
      <c r="H176" t="s">
        <v>351</v>
      </c>
      <c r="I176" t="s">
        <v>169</v>
      </c>
      <c r="K176" t="s">
        <v>146</v>
      </c>
      <c r="L176" t="s">
        <v>305</v>
      </c>
      <c r="M176">
        <v>90000000</v>
      </c>
      <c r="N176">
        <v>90000000</v>
      </c>
      <c r="O176">
        <v>18000000</v>
      </c>
      <c r="P176">
        <v>18000000</v>
      </c>
      <c r="Q176" s="1">
        <v>45473</v>
      </c>
      <c r="R176" s="1">
        <v>45565</v>
      </c>
      <c r="S176">
        <v>20</v>
      </c>
      <c r="X176">
        <v>18000000</v>
      </c>
      <c r="AC176">
        <v>18000000</v>
      </c>
    </row>
    <row r="177" spans="1:36" hidden="1" x14ac:dyDescent="0.45">
      <c r="A177">
        <v>10204</v>
      </c>
      <c r="B177" t="s">
        <v>88</v>
      </c>
      <c r="C177" t="s">
        <v>46</v>
      </c>
      <c r="D177" t="s">
        <v>24</v>
      </c>
      <c r="E177" t="s">
        <v>47</v>
      </c>
      <c r="F177" t="s">
        <v>350</v>
      </c>
      <c r="G177">
        <v>3</v>
      </c>
      <c r="H177" t="s">
        <v>351</v>
      </c>
      <c r="I177" t="s">
        <v>169</v>
      </c>
      <c r="K177" t="s">
        <v>146</v>
      </c>
      <c r="L177" t="s">
        <v>307</v>
      </c>
      <c r="M177">
        <v>112500000</v>
      </c>
      <c r="N177">
        <v>112500000</v>
      </c>
      <c r="O177">
        <v>22500000</v>
      </c>
      <c r="P177">
        <v>22500000</v>
      </c>
      <c r="Q177" s="1">
        <v>45473</v>
      </c>
      <c r="R177" s="1">
        <v>45626</v>
      </c>
      <c r="S177">
        <v>20</v>
      </c>
      <c r="X177">
        <v>22500000</v>
      </c>
      <c r="AC177">
        <v>22500000</v>
      </c>
    </row>
    <row r="178" spans="1:36" hidden="1" x14ac:dyDescent="0.45">
      <c r="A178">
        <v>10205</v>
      </c>
      <c r="B178" t="s">
        <v>88</v>
      </c>
      <c r="C178" t="s">
        <v>46</v>
      </c>
      <c r="D178" t="s">
        <v>24</v>
      </c>
      <c r="E178" t="s">
        <v>47</v>
      </c>
      <c r="F178" t="s">
        <v>350</v>
      </c>
      <c r="G178">
        <v>3</v>
      </c>
      <c r="H178" t="s">
        <v>351</v>
      </c>
      <c r="I178" t="s">
        <v>169</v>
      </c>
      <c r="K178" t="s">
        <v>146</v>
      </c>
      <c r="L178" t="s">
        <v>308</v>
      </c>
      <c r="M178">
        <v>45000000</v>
      </c>
      <c r="N178">
        <v>45000000</v>
      </c>
      <c r="O178">
        <v>9000000</v>
      </c>
      <c r="P178">
        <v>9000000</v>
      </c>
      <c r="Q178" s="1">
        <v>45473</v>
      </c>
      <c r="R178" s="1">
        <v>45657</v>
      </c>
      <c r="S178">
        <v>20</v>
      </c>
      <c r="X178">
        <v>9000000</v>
      </c>
      <c r="AC178">
        <v>9000000</v>
      </c>
    </row>
    <row r="179" spans="1:36" hidden="1" x14ac:dyDescent="0.45">
      <c r="A179">
        <v>10206</v>
      </c>
      <c r="B179" t="s">
        <v>88</v>
      </c>
      <c r="C179" t="s">
        <v>46</v>
      </c>
      <c r="D179" t="s">
        <v>24</v>
      </c>
      <c r="E179" t="s">
        <v>47</v>
      </c>
      <c r="F179" t="s">
        <v>350</v>
      </c>
      <c r="G179">
        <v>3</v>
      </c>
      <c r="H179" t="s">
        <v>351</v>
      </c>
      <c r="I179" t="s">
        <v>169</v>
      </c>
      <c r="K179" t="s">
        <v>146</v>
      </c>
      <c r="L179" t="s">
        <v>379</v>
      </c>
      <c r="M179">
        <v>22500000</v>
      </c>
      <c r="N179">
        <v>22500000</v>
      </c>
      <c r="O179">
        <v>4500000</v>
      </c>
      <c r="P179">
        <v>4500000</v>
      </c>
      <c r="Q179" s="1">
        <v>45473</v>
      </c>
      <c r="R179" s="1">
        <v>45747</v>
      </c>
      <c r="S179">
        <v>20</v>
      </c>
      <c r="X179">
        <v>4500000</v>
      </c>
      <c r="AC179">
        <v>4500000</v>
      </c>
    </row>
    <row r="180" spans="1:36" hidden="1" x14ac:dyDescent="0.45">
      <c r="A180">
        <v>10207</v>
      </c>
      <c r="B180" t="s">
        <v>45</v>
      </c>
      <c r="C180" t="s">
        <v>46</v>
      </c>
      <c r="D180" t="s">
        <v>24</v>
      </c>
      <c r="E180" t="s">
        <v>47</v>
      </c>
      <c r="F180" t="s">
        <v>380</v>
      </c>
      <c r="G180">
        <v>3</v>
      </c>
      <c r="H180" t="s">
        <v>381</v>
      </c>
      <c r="I180" t="s">
        <v>199</v>
      </c>
      <c r="K180" t="s">
        <v>146</v>
      </c>
      <c r="L180" t="s">
        <v>220</v>
      </c>
      <c r="M180">
        <v>38000000</v>
      </c>
      <c r="N180">
        <v>38000000</v>
      </c>
      <c r="O180">
        <v>15200000</v>
      </c>
      <c r="P180">
        <v>15200000</v>
      </c>
      <c r="Q180" s="1">
        <v>45443</v>
      </c>
      <c r="R180" s="1">
        <v>45443</v>
      </c>
      <c r="S180">
        <v>40</v>
      </c>
      <c r="Y180">
        <v>15200000</v>
      </c>
      <c r="AE180">
        <v>15200000</v>
      </c>
    </row>
    <row r="181" spans="1:36" hidden="1" x14ac:dyDescent="0.45">
      <c r="A181">
        <v>10217</v>
      </c>
      <c r="B181" t="s">
        <v>113</v>
      </c>
      <c r="C181" t="s">
        <v>46</v>
      </c>
      <c r="D181" t="s">
        <v>24</v>
      </c>
      <c r="E181" t="s">
        <v>47</v>
      </c>
      <c r="F181" t="s">
        <v>382</v>
      </c>
      <c r="G181">
        <v>4</v>
      </c>
      <c r="H181" t="s">
        <v>383</v>
      </c>
      <c r="I181" t="s">
        <v>145</v>
      </c>
      <c r="K181" t="s">
        <v>51</v>
      </c>
      <c r="L181" t="s">
        <v>384</v>
      </c>
      <c r="M181">
        <v>365000000</v>
      </c>
      <c r="N181">
        <v>112000000</v>
      </c>
      <c r="O181">
        <v>292000000</v>
      </c>
      <c r="P181">
        <v>89600000</v>
      </c>
      <c r="Q181" s="1">
        <v>45646</v>
      </c>
      <c r="R181" s="1">
        <v>45646</v>
      </c>
      <c r="S181">
        <v>80</v>
      </c>
      <c r="V181">
        <v>89600000</v>
      </c>
      <c r="AJ181">
        <v>89600000</v>
      </c>
    </row>
    <row r="182" spans="1:36" hidden="1" x14ac:dyDescent="0.45">
      <c r="A182">
        <v>10218</v>
      </c>
      <c r="B182" t="s">
        <v>113</v>
      </c>
      <c r="C182" t="s">
        <v>46</v>
      </c>
      <c r="D182" t="s">
        <v>24</v>
      </c>
      <c r="E182" t="s">
        <v>47</v>
      </c>
      <c r="F182" t="s">
        <v>385</v>
      </c>
      <c r="G182">
        <v>4</v>
      </c>
      <c r="H182" t="s">
        <v>386</v>
      </c>
      <c r="I182" t="s">
        <v>145</v>
      </c>
      <c r="K182" t="s">
        <v>51</v>
      </c>
      <c r="L182" t="s">
        <v>384</v>
      </c>
      <c r="M182">
        <v>389000000</v>
      </c>
      <c r="N182">
        <v>107000000</v>
      </c>
      <c r="O182">
        <v>311200000</v>
      </c>
      <c r="P182">
        <v>85600000</v>
      </c>
      <c r="Q182" s="1">
        <v>45524</v>
      </c>
      <c r="R182" s="1">
        <v>45555</v>
      </c>
      <c r="S182">
        <v>80</v>
      </c>
      <c r="V182">
        <v>85600000</v>
      </c>
      <c r="AJ182">
        <v>85600000</v>
      </c>
    </row>
    <row r="183" spans="1:36" hidden="1" x14ac:dyDescent="0.45">
      <c r="A183">
        <v>10219</v>
      </c>
      <c r="B183" t="s">
        <v>113</v>
      </c>
      <c r="C183" t="s">
        <v>46</v>
      </c>
      <c r="D183" t="s">
        <v>24</v>
      </c>
      <c r="E183" t="s">
        <v>47</v>
      </c>
      <c r="F183" t="s">
        <v>387</v>
      </c>
      <c r="G183">
        <v>1</v>
      </c>
      <c r="H183" t="s">
        <v>388</v>
      </c>
      <c r="I183" t="s">
        <v>145</v>
      </c>
      <c r="K183" t="s">
        <v>42</v>
      </c>
      <c r="L183" t="s">
        <v>389</v>
      </c>
      <c r="M183">
        <v>300000000</v>
      </c>
      <c r="N183">
        <v>164000000</v>
      </c>
      <c r="O183">
        <v>150000000</v>
      </c>
      <c r="P183">
        <v>82000000</v>
      </c>
      <c r="Q183" s="1">
        <v>45493</v>
      </c>
      <c r="R183" s="1">
        <v>45524</v>
      </c>
      <c r="S183">
        <v>50</v>
      </c>
      <c r="V183">
        <v>82000000</v>
      </c>
      <c r="AD183">
        <v>82000000</v>
      </c>
    </row>
    <row r="184" spans="1:36" hidden="1" x14ac:dyDescent="0.45">
      <c r="A184">
        <v>10220</v>
      </c>
      <c r="B184" t="s">
        <v>113</v>
      </c>
      <c r="C184" t="s">
        <v>46</v>
      </c>
      <c r="D184" t="s">
        <v>24</v>
      </c>
      <c r="E184" t="s">
        <v>47</v>
      </c>
      <c r="F184" t="s">
        <v>387</v>
      </c>
      <c r="G184">
        <v>1</v>
      </c>
      <c r="H184" t="s">
        <v>388</v>
      </c>
      <c r="I184" t="s">
        <v>145</v>
      </c>
      <c r="K184" t="s">
        <v>42</v>
      </c>
      <c r="L184" t="s">
        <v>390</v>
      </c>
      <c r="M184">
        <v>75000000</v>
      </c>
      <c r="N184">
        <v>41000000</v>
      </c>
      <c r="O184">
        <v>37500000</v>
      </c>
      <c r="P184">
        <v>20500000</v>
      </c>
      <c r="Q184" s="1">
        <v>45493</v>
      </c>
      <c r="R184" s="1">
        <v>45585</v>
      </c>
      <c r="S184">
        <v>50</v>
      </c>
      <c r="V184">
        <v>20500000</v>
      </c>
      <c r="AD184">
        <v>20500000</v>
      </c>
    </row>
    <row r="185" spans="1:36" hidden="1" x14ac:dyDescent="0.45">
      <c r="A185">
        <v>10221</v>
      </c>
      <c r="B185" t="s">
        <v>113</v>
      </c>
      <c r="C185" t="s">
        <v>46</v>
      </c>
      <c r="D185" t="s">
        <v>24</v>
      </c>
      <c r="E185" t="s">
        <v>47</v>
      </c>
      <c r="F185" t="s">
        <v>387</v>
      </c>
      <c r="G185">
        <v>1</v>
      </c>
      <c r="H185" t="s">
        <v>388</v>
      </c>
      <c r="I185" t="s">
        <v>145</v>
      </c>
      <c r="K185" t="s">
        <v>42</v>
      </c>
      <c r="L185" t="s">
        <v>391</v>
      </c>
      <c r="M185">
        <v>75000000</v>
      </c>
      <c r="N185">
        <v>41000000</v>
      </c>
      <c r="O185">
        <v>37500000</v>
      </c>
      <c r="P185">
        <v>20500000</v>
      </c>
      <c r="Q185" s="1">
        <v>45493</v>
      </c>
      <c r="R185" s="1">
        <v>45677</v>
      </c>
      <c r="S185">
        <v>50</v>
      </c>
      <c r="V185">
        <v>20500000</v>
      </c>
      <c r="AD185">
        <v>20500000</v>
      </c>
    </row>
    <row r="186" spans="1:36" hidden="1" x14ac:dyDescent="0.45">
      <c r="A186">
        <v>10222</v>
      </c>
      <c r="B186" t="s">
        <v>113</v>
      </c>
      <c r="C186" t="s">
        <v>46</v>
      </c>
      <c r="D186" t="s">
        <v>24</v>
      </c>
      <c r="E186" t="s">
        <v>47</v>
      </c>
      <c r="F186" t="s">
        <v>387</v>
      </c>
      <c r="G186">
        <v>1</v>
      </c>
      <c r="H186" t="s">
        <v>388</v>
      </c>
      <c r="I186" t="s">
        <v>145</v>
      </c>
      <c r="K186" t="s">
        <v>42</v>
      </c>
      <c r="L186" t="s">
        <v>392</v>
      </c>
      <c r="M186">
        <v>75000000</v>
      </c>
      <c r="N186">
        <v>41000000</v>
      </c>
      <c r="O186">
        <v>37500000</v>
      </c>
      <c r="P186">
        <v>20500000</v>
      </c>
      <c r="Q186" s="1">
        <v>45493</v>
      </c>
      <c r="R186" s="1">
        <v>45767</v>
      </c>
      <c r="S186">
        <v>50</v>
      </c>
      <c r="V186">
        <v>20500000</v>
      </c>
      <c r="AD186">
        <v>20500000</v>
      </c>
    </row>
    <row r="187" spans="1:36" hidden="1" x14ac:dyDescent="0.45">
      <c r="A187">
        <v>10223</v>
      </c>
      <c r="B187" t="s">
        <v>113</v>
      </c>
      <c r="C187" t="s">
        <v>46</v>
      </c>
      <c r="D187" t="s">
        <v>24</v>
      </c>
      <c r="E187" t="s">
        <v>47</v>
      </c>
      <c r="F187" t="s">
        <v>387</v>
      </c>
      <c r="G187">
        <v>1</v>
      </c>
      <c r="H187" t="s">
        <v>388</v>
      </c>
      <c r="I187" t="s">
        <v>145</v>
      </c>
      <c r="K187" t="s">
        <v>42</v>
      </c>
      <c r="L187" t="s">
        <v>393</v>
      </c>
      <c r="M187">
        <v>75000000</v>
      </c>
      <c r="N187">
        <v>41000000</v>
      </c>
      <c r="O187">
        <v>37500000</v>
      </c>
      <c r="P187">
        <v>20500000</v>
      </c>
      <c r="Q187" s="1">
        <v>45493</v>
      </c>
      <c r="R187" s="1">
        <v>45493</v>
      </c>
      <c r="S187">
        <v>50</v>
      </c>
      <c r="V187">
        <v>20500000</v>
      </c>
      <c r="AD187">
        <v>20500000</v>
      </c>
    </row>
    <row r="188" spans="1:36" hidden="1" x14ac:dyDescent="0.45">
      <c r="A188">
        <v>10245</v>
      </c>
      <c r="B188" t="s">
        <v>113</v>
      </c>
      <c r="C188" t="s">
        <v>46</v>
      </c>
      <c r="D188" t="s">
        <v>24</v>
      </c>
      <c r="E188" t="s">
        <v>47</v>
      </c>
      <c r="F188" t="s">
        <v>394</v>
      </c>
      <c r="G188">
        <v>3</v>
      </c>
      <c r="H188" t="s">
        <v>395</v>
      </c>
      <c r="I188" t="s">
        <v>152</v>
      </c>
      <c r="K188" t="s">
        <v>146</v>
      </c>
      <c r="L188" t="s">
        <v>136</v>
      </c>
      <c r="M188">
        <v>50000000</v>
      </c>
      <c r="N188">
        <v>50000000</v>
      </c>
      <c r="O188">
        <v>15000000</v>
      </c>
      <c r="P188">
        <v>15000000</v>
      </c>
      <c r="Q188" s="1">
        <v>45504</v>
      </c>
      <c r="R188" s="1">
        <v>45535</v>
      </c>
      <c r="S188">
        <v>30</v>
      </c>
      <c r="Y188">
        <v>15000000</v>
      </c>
      <c r="AG188">
        <v>15000000</v>
      </c>
    </row>
    <row r="189" spans="1:36" hidden="1" x14ac:dyDescent="0.45">
      <c r="A189">
        <v>10267</v>
      </c>
      <c r="B189" t="s">
        <v>58</v>
      </c>
      <c r="C189" t="s">
        <v>46</v>
      </c>
      <c r="D189" t="s">
        <v>24</v>
      </c>
      <c r="E189" t="s">
        <v>47</v>
      </c>
      <c r="F189" t="s">
        <v>396</v>
      </c>
      <c r="G189">
        <v>2</v>
      </c>
      <c r="H189" t="s">
        <v>397</v>
      </c>
      <c r="I189" t="s">
        <v>165</v>
      </c>
      <c r="K189" t="s">
        <v>66</v>
      </c>
      <c r="L189" t="s">
        <v>398</v>
      </c>
      <c r="M189">
        <v>52800000</v>
      </c>
      <c r="N189">
        <v>52800000</v>
      </c>
      <c r="O189">
        <v>36960000</v>
      </c>
      <c r="P189">
        <v>36960000</v>
      </c>
      <c r="Q189" s="1">
        <v>45473</v>
      </c>
      <c r="R189" s="1">
        <v>45504</v>
      </c>
      <c r="S189">
        <v>70</v>
      </c>
      <c r="X189">
        <v>36960000</v>
      </c>
      <c r="AC189">
        <v>36960000</v>
      </c>
    </row>
    <row r="190" spans="1:36" hidden="1" x14ac:dyDescent="0.45">
      <c r="A190">
        <v>10268</v>
      </c>
      <c r="B190" t="s">
        <v>58</v>
      </c>
      <c r="C190" t="s">
        <v>46</v>
      </c>
      <c r="D190" t="s">
        <v>24</v>
      </c>
      <c r="E190" t="s">
        <v>47</v>
      </c>
      <c r="F190" t="s">
        <v>399</v>
      </c>
      <c r="G190">
        <v>2</v>
      </c>
      <c r="H190" t="s">
        <v>400</v>
      </c>
      <c r="I190" t="s">
        <v>165</v>
      </c>
      <c r="K190" t="s">
        <v>66</v>
      </c>
      <c r="L190" t="s">
        <v>398</v>
      </c>
      <c r="M190">
        <v>28800000</v>
      </c>
      <c r="N190">
        <v>28800000</v>
      </c>
      <c r="O190">
        <v>20160000</v>
      </c>
      <c r="P190">
        <v>20160000</v>
      </c>
      <c r="Q190" s="1">
        <v>45473</v>
      </c>
      <c r="R190" s="1">
        <v>45504</v>
      </c>
      <c r="S190">
        <v>70</v>
      </c>
      <c r="X190">
        <v>20160000</v>
      </c>
      <c r="AC190">
        <v>20160000</v>
      </c>
    </row>
    <row r="191" spans="1:36" hidden="1" x14ac:dyDescent="0.45">
      <c r="A191">
        <v>10277</v>
      </c>
      <c r="B191" t="s">
        <v>45</v>
      </c>
      <c r="C191" t="s">
        <v>46</v>
      </c>
      <c r="D191" t="s">
        <v>24</v>
      </c>
      <c r="E191" t="s">
        <v>47</v>
      </c>
      <c r="F191" t="s">
        <v>401</v>
      </c>
      <c r="G191">
        <v>3</v>
      </c>
      <c r="H191" t="s">
        <v>402</v>
      </c>
      <c r="I191" t="s">
        <v>205</v>
      </c>
      <c r="K191" t="s">
        <v>146</v>
      </c>
      <c r="L191" t="s">
        <v>102</v>
      </c>
      <c r="M191">
        <v>2700000000</v>
      </c>
      <c r="N191">
        <v>200000000</v>
      </c>
      <c r="O191">
        <v>810000000</v>
      </c>
      <c r="P191">
        <v>60000000</v>
      </c>
      <c r="Q191" s="1">
        <v>45436</v>
      </c>
      <c r="R191" s="1">
        <v>45443</v>
      </c>
      <c r="S191">
        <v>30</v>
      </c>
      <c r="T191">
        <v>60000000</v>
      </c>
      <c r="AD191">
        <v>60000000</v>
      </c>
    </row>
    <row r="192" spans="1:36" hidden="1" x14ac:dyDescent="0.45">
      <c r="A192">
        <v>10281</v>
      </c>
      <c r="B192" t="s">
        <v>45</v>
      </c>
      <c r="C192" t="s">
        <v>46</v>
      </c>
      <c r="D192" t="s">
        <v>24</v>
      </c>
      <c r="E192" t="s">
        <v>47</v>
      </c>
      <c r="F192" t="s">
        <v>403</v>
      </c>
      <c r="G192">
        <v>2</v>
      </c>
      <c r="H192" t="s">
        <v>404</v>
      </c>
      <c r="I192" t="s">
        <v>405</v>
      </c>
      <c r="K192" t="s">
        <v>66</v>
      </c>
      <c r="L192" t="s">
        <v>220</v>
      </c>
      <c r="M192">
        <v>342000000</v>
      </c>
      <c r="N192">
        <v>342000000</v>
      </c>
      <c r="O192">
        <v>102600000</v>
      </c>
      <c r="P192">
        <v>102600000</v>
      </c>
      <c r="Q192" s="1">
        <v>45443</v>
      </c>
      <c r="R192" s="1">
        <v>45443</v>
      </c>
      <c r="S192">
        <v>30</v>
      </c>
      <c r="X192">
        <v>102600000</v>
      </c>
      <c r="AI192">
        <v>102600000</v>
      </c>
    </row>
    <row r="193" spans="1:36" hidden="1" x14ac:dyDescent="0.45">
      <c r="A193">
        <v>10294</v>
      </c>
      <c r="B193" t="s">
        <v>88</v>
      </c>
      <c r="C193" t="s">
        <v>46</v>
      </c>
      <c r="D193" t="s">
        <v>24</v>
      </c>
      <c r="E193" t="s">
        <v>47</v>
      </c>
      <c r="F193" t="s">
        <v>406</v>
      </c>
      <c r="G193">
        <v>2</v>
      </c>
      <c r="H193" t="s">
        <v>407</v>
      </c>
      <c r="I193" t="s">
        <v>169</v>
      </c>
      <c r="K193" t="s">
        <v>66</v>
      </c>
      <c r="L193" t="s">
        <v>108</v>
      </c>
      <c r="M193">
        <v>40000000</v>
      </c>
      <c r="N193">
        <v>40000000</v>
      </c>
      <c r="O193">
        <v>10000000</v>
      </c>
      <c r="P193">
        <v>10000000</v>
      </c>
      <c r="Q193" s="1">
        <v>45565</v>
      </c>
      <c r="R193" s="1">
        <v>45596</v>
      </c>
      <c r="S193">
        <v>25</v>
      </c>
      <c r="Y193">
        <v>10000000</v>
      </c>
      <c r="AE193">
        <v>10000000</v>
      </c>
    </row>
    <row r="194" spans="1:36" hidden="1" x14ac:dyDescent="0.45">
      <c r="A194">
        <v>10306</v>
      </c>
      <c r="B194" t="s">
        <v>45</v>
      </c>
      <c r="C194" t="s">
        <v>46</v>
      </c>
      <c r="D194" t="s">
        <v>24</v>
      </c>
      <c r="E194" t="s">
        <v>47</v>
      </c>
      <c r="F194" t="s">
        <v>408</v>
      </c>
      <c r="G194">
        <v>2</v>
      </c>
      <c r="H194" t="s">
        <v>409</v>
      </c>
      <c r="I194" t="s">
        <v>95</v>
      </c>
      <c r="K194" t="s">
        <v>66</v>
      </c>
      <c r="L194" t="s">
        <v>102</v>
      </c>
      <c r="M194">
        <v>1000000000</v>
      </c>
      <c r="N194">
        <v>100000000</v>
      </c>
      <c r="O194">
        <v>200000000</v>
      </c>
      <c r="P194">
        <v>20000000</v>
      </c>
      <c r="Q194" s="1">
        <v>45471</v>
      </c>
      <c r="R194" s="1">
        <v>45499</v>
      </c>
      <c r="S194">
        <v>20</v>
      </c>
      <c r="T194">
        <v>20000000</v>
      </c>
      <c r="AA194">
        <v>20000000</v>
      </c>
    </row>
    <row r="195" spans="1:36" hidden="1" x14ac:dyDescent="0.45">
      <c r="A195">
        <v>10307</v>
      </c>
      <c r="B195" t="s">
        <v>410</v>
      </c>
      <c r="C195" t="s">
        <v>46</v>
      </c>
      <c r="D195" t="s">
        <v>411</v>
      </c>
      <c r="E195" t="s">
        <v>412</v>
      </c>
      <c r="F195" t="s">
        <v>413</v>
      </c>
      <c r="G195">
        <v>2</v>
      </c>
      <c r="H195" t="s">
        <v>414</v>
      </c>
      <c r="I195" t="s">
        <v>145</v>
      </c>
      <c r="K195" t="s">
        <v>66</v>
      </c>
      <c r="L195" t="s">
        <v>415</v>
      </c>
      <c r="M195">
        <v>600000000</v>
      </c>
      <c r="N195">
        <v>200000000</v>
      </c>
      <c r="O195">
        <v>180000000</v>
      </c>
      <c r="P195">
        <v>60000000</v>
      </c>
      <c r="Q195" s="1">
        <v>45565</v>
      </c>
      <c r="R195" s="1">
        <v>45626</v>
      </c>
      <c r="S195">
        <v>30</v>
      </c>
      <c r="X195">
        <v>60000000</v>
      </c>
      <c r="AC195">
        <v>60000000</v>
      </c>
    </row>
    <row r="196" spans="1:36" hidden="1" x14ac:dyDescent="0.45">
      <c r="A196">
        <v>10308</v>
      </c>
      <c r="B196" t="s">
        <v>410</v>
      </c>
      <c r="C196" t="s">
        <v>46</v>
      </c>
      <c r="D196" t="s">
        <v>411</v>
      </c>
      <c r="E196" t="s">
        <v>412</v>
      </c>
      <c r="F196" t="s">
        <v>413</v>
      </c>
      <c r="G196">
        <v>2</v>
      </c>
      <c r="H196" t="s">
        <v>414</v>
      </c>
      <c r="I196" t="s">
        <v>145</v>
      </c>
      <c r="K196" t="s">
        <v>66</v>
      </c>
      <c r="L196" t="s">
        <v>398</v>
      </c>
      <c r="M196">
        <v>900000000</v>
      </c>
      <c r="N196">
        <v>300000000</v>
      </c>
      <c r="O196">
        <v>270000000</v>
      </c>
      <c r="P196">
        <v>90000000</v>
      </c>
      <c r="Q196" s="1">
        <v>45565</v>
      </c>
      <c r="R196" s="1">
        <v>45673</v>
      </c>
      <c r="S196">
        <v>30</v>
      </c>
      <c r="X196">
        <v>90000000</v>
      </c>
      <c r="AC196">
        <v>90000000</v>
      </c>
    </row>
    <row r="197" spans="1:36" hidden="1" x14ac:dyDescent="0.45">
      <c r="A197">
        <v>10309</v>
      </c>
      <c r="B197" t="s">
        <v>410</v>
      </c>
      <c r="C197" t="s">
        <v>46</v>
      </c>
      <c r="D197" t="s">
        <v>411</v>
      </c>
      <c r="E197" t="s">
        <v>412</v>
      </c>
      <c r="F197" t="s">
        <v>413</v>
      </c>
      <c r="G197">
        <v>2</v>
      </c>
      <c r="H197" t="s">
        <v>414</v>
      </c>
      <c r="I197" t="s">
        <v>145</v>
      </c>
      <c r="K197" t="s">
        <v>66</v>
      </c>
      <c r="L197" t="s">
        <v>416</v>
      </c>
      <c r="M197">
        <v>900000000</v>
      </c>
      <c r="N197">
        <v>300000000</v>
      </c>
      <c r="O197">
        <v>270000000</v>
      </c>
      <c r="P197">
        <v>90000000</v>
      </c>
      <c r="Q197" s="1">
        <v>45565</v>
      </c>
      <c r="R197" s="1">
        <v>45736</v>
      </c>
      <c r="S197">
        <v>30</v>
      </c>
      <c r="X197">
        <v>90000000</v>
      </c>
      <c r="AC197">
        <v>90000000</v>
      </c>
    </row>
    <row r="198" spans="1:36" hidden="1" x14ac:dyDescent="0.45">
      <c r="A198">
        <v>10310</v>
      </c>
      <c r="B198" t="s">
        <v>113</v>
      </c>
      <c r="C198" t="s">
        <v>46</v>
      </c>
      <c r="D198" t="s">
        <v>24</v>
      </c>
      <c r="E198" t="s">
        <v>47</v>
      </c>
      <c r="F198" t="s">
        <v>417</v>
      </c>
      <c r="G198">
        <v>2</v>
      </c>
      <c r="H198" t="s">
        <v>418</v>
      </c>
      <c r="I198" t="s">
        <v>145</v>
      </c>
      <c r="K198" t="s">
        <v>66</v>
      </c>
      <c r="L198" t="s">
        <v>415</v>
      </c>
      <c r="M198">
        <v>600000000</v>
      </c>
      <c r="N198">
        <v>200000000</v>
      </c>
      <c r="O198">
        <v>180000000</v>
      </c>
      <c r="P198">
        <v>60000000</v>
      </c>
      <c r="Q198" s="1">
        <v>45565</v>
      </c>
      <c r="R198" s="1">
        <v>45616</v>
      </c>
      <c r="S198">
        <v>30</v>
      </c>
      <c r="X198">
        <v>60000000</v>
      </c>
      <c r="AC198">
        <v>60000000</v>
      </c>
    </row>
    <row r="199" spans="1:36" hidden="1" x14ac:dyDescent="0.45">
      <c r="A199">
        <v>10311</v>
      </c>
      <c r="B199" t="s">
        <v>113</v>
      </c>
      <c r="C199" t="s">
        <v>46</v>
      </c>
      <c r="D199" t="s">
        <v>24</v>
      </c>
      <c r="E199" t="s">
        <v>47</v>
      </c>
      <c r="F199" t="s">
        <v>417</v>
      </c>
      <c r="G199">
        <v>2</v>
      </c>
      <c r="H199" t="s">
        <v>418</v>
      </c>
      <c r="I199" t="s">
        <v>145</v>
      </c>
      <c r="K199" t="s">
        <v>66</v>
      </c>
      <c r="L199" t="s">
        <v>398</v>
      </c>
      <c r="M199">
        <v>900000000</v>
      </c>
      <c r="N199">
        <v>300000000</v>
      </c>
      <c r="O199">
        <v>270000000</v>
      </c>
      <c r="P199">
        <v>90000000</v>
      </c>
      <c r="Q199" s="1">
        <v>45565</v>
      </c>
      <c r="R199" s="1">
        <v>45677</v>
      </c>
      <c r="S199">
        <v>30</v>
      </c>
      <c r="X199">
        <v>90000000</v>
      </c>
      <c r="AC199">
        <v>90000000</v>
      </c>
    </row>
    <row r="200" spans="1:36" hidden="1" x14ac:dyDescent="0.45">
      <c r="A200">
        <v>10312</v>
      </c>
      <c r="B200" t="s">
        <v>410</v>
      </c>
      <c r="C200" t="s">
        <v>46</v>
      </c>
      <c r="D200" t="s">
        <v>411</v>
      </c>
      <c r="E200" t="s">
        <v>412</v>
      </c>
      <c r="F200" t="s">
        <v>413</v>
      </c>
      <c r="G200">
        <v>2</v>
      </c>
      <c r="H200" t="s">
        <v>414</v>
      </c>
      <c r="I200" t="s">
        <v>145</v>
      </c>
      <c r="K200" t="s">
        <v>66</v>
      </c>
      <c r="L200" t="s">
        <v>419</v>
      </c>
      <c r="M200">
        <v>600000000</v>
      </c>
      <c r="N200">
        <v>200000000</v>
      </c>
      <c r="O200">
        <v>180000000</v>
      </c>
      <c r="P200">
        <v>60000000</v>
      </c>
      <c r="Q200" s="1">
        <v>45565</v>
      </c>
      <c r="R200" s="1">
        <v>45793</v>
      </c>
      <c r="S200">
        <v>30</v>
      </c>
      <c r="X200">
        <v>60000000</v>
      </c>
      <c r="AC200">
        <v>60000000</v>
      </c>
    </row>
    <row r="201" spans="1:36" hidden="1" x14ac:dyDescent="0.45">
      <c r="A201">
        <v>10313</v>
      </c>
      <c r="B201" t="s">
        <v>113</v>
      </c>
      <c r="C201" t="s">
        <v>46</v>
      </c>
      <c r="D201" t="s">
        <v>24</v>
      </c>
      <c r="E201" t="s">
        <v>47</v>
      </c>
      <c r="F201" t="s">
        <v>417</v>
      </c>
      <c r="G201">
        <v>2</v>
      </c>
      <c r="H201" t="s">
        <v>418</v>
      </c>
      <c r="I201" t="s">
        <v>145</v>
      </c>
      <c r="K201" t="s">
        <v>66</v>
      </c>
      <c r="L201" t="s">
        <v>416</v>
      </c>
      <c r="M201">
        <v>900000000</v>
      </c>
      <c r="N201">
        <v>300000000</v>
      </c>
      <c r="O201">
        <v>270000000</v>
      </c>
      <c r="P201">
        <v>90000000</v>
      </c>
      <c r="Q201" s="1">
        <v>45565</v>
      </c>
      <c r="R201" s="1">
        <v>45736</v>
      </c>
      <c r="S201">
        <v>30</v>
      </c>
      <c r="X201">
        <v>90000000</v>
      </c>
      <c r="AC201">
        <v>90000000</v>
      </c>
    </row>
    <row r="202" spans="1:36" hidden="1" x14ac:dyDescent="0.45">
      <c r="A202">
        <v>10314</v>
      </c>
      <c r="B202" t="s">
        <v>113</v>
      </c>
      <c r="C202" t="s">
        <v>46</v>
      </c>
      <c r="D202" t="s">
        <v>24</v>
      </c>
      <c r="E202" t="s">
        <v>47</v>
      </c>
      <c r="F202" t="s">
        <v>417</v>
      </c>
      <c r="G202">
        <v>2</v>
      </c>
      <c r="H202" t="s">
        <v>418</v>
      </c>
      <c r="I202" t="s">
        <v>145</v>
      </c>
      <c r="K202" t="s">
        <v>66</v>
      </c>
      <c r="L202" t="s">
        <v>420</v>
      </c>
      <c r="M202">
        <v>600000000</v>
      </c>
      <c r="N202">
        <v>200000000</v>
      </c>
      <c r="O202">
        <v>180000000</v>
      </c>
      <c r="P202">
        <v>60000000</v>
      </c>
      <c r="Q202" s="1">
        <v>45565</v>
      </c>
      <c r="R202" s="1">
        <v>45797</v>
      </c>
      <c r="S202">
        <v>30</v>
      </c>
      <c r="X202">
        <v>60000000</v>
      </c>
      <c r="AC202">
        <v>60000000</v>
      </c>
    </row>
    <row r="203" spans="1:36" hidden="1" x14ac:dyDescent="0.45">
      <c r="A203">
        <v>10315</v>
      </c>
      <c r="B203" t="s">
        <v>113</v>
      </c>
      <c r="C203" t="s">
        <v>46</v>
      </c>
      <c r="D203" t="s">
        <v>24</v>
      </c>
      <c r="E203" t="s">
        <v>47</v>
      </c>
      <c r="F203" t="s">
        <v>421</v>
      </c>
      <c r="G203">
        <v>4</v>
      </c>
      <c r="H203" t="s">
        <v>422</v>
      </c>
      <c r="I203" t="s">
        <v>423</v>
      </c>
      <c r="K203" t="s">
        <v>51</v>
      </c>
      <c r="L203" t="s">
        <v>384</v>
      </c>
      <c r="M203">
        <v>1300000000</v>
      </c>
      <c r="N203">
        <v>100000000</v>
      </c>
      <c r="O203">
        <v>1040000000</v>
      </c>
      <c r="P203">
        <v>80000000</v>
      </c>
      <c r="Q203" s="1">
        <v>45555</v>
      </c>
      <c r="R203" s="1">
        <v>45626</v>
      </c>
      <c r="S203">
        <v>80</v>
      </c>
      <c r="V203">
        <v>80000000</v>
      </c>
      <c r="AD203">
        <v>80000000</v>
      </c>
    </row>
    <row r="204" spans="1:36" hidden="1" x14ac:dyDescent="0.45">
      <c r="A204">
        <v>10316</v>
      </c>
      <c r="B204" t="s">
        <v>113</v>
      </c>
      <c r="C204" t="s">
        <v>46</v>
      </c>
      <c r="D204" t="s">
        <v>24</v>
      </c>
      <c r="E204" t="s">
        <v>47</v>
      </c>
      <c r="F204" t="s">
        <v>424</v>
      </c>
      <c r="G204">
        <v>4</v>
      </c>
      <c r="H204" t="s">
        <v>425</v>
      </c>
      <c r="I204" t="s">
        <v>145</v>
      </c>
      <c r="K204" t="s">
        <v>51</v>
      </c>
      <c r="L204" t="s">
        <v>426</v>
      </c>
      <c r="M204">
        <v>166000000</v>
      </c>
      <c r="N204">
        <v>166000000</v>
      </c>
      <c r="O204">
        <v>132800000</v>
      </c>
      <c r="P204">
        <v>132800000</v>
      </c>
      <c r="Q204" s="1">
        <v>45565</v>
      </c>
      <c r="R204" s="1">
        <v>45646</v>
      </c>
      <c r="S204">
        <v>80</v>
      </c>
      <c r="X204">
        <v>132800000</v>
      </c>
      <c r="AC204">
        <v>132800000</v>
      </c>
    </row>
    <row r="205" spans="1:36" hidden="1" x14ac:dyDescent="0.45">
      <c r="A205">
        <v>10317</v>
      </c>
      <c r="B205" t="s">
        <v>113</v>
      </c>
      <c r="C205" t="s">
        <v>46</v>
      </c>
      <c r="D205" t="s">
        <v>24</v>
      </c>
      <c r="E205" t="s">
        <v>47</v>
      </c>
      <c r="F205" t="s">
        <v>424</v>
      </c>
      <c r="G205">
        <v>4</v>
      </c>
      <c r="H205" t="s">
        <v>425</v>
      </c>
      <c r="I205" t="s">
        <v>145</v>
      </c>
      <c r="K205" t="s">
        <v>51</v>
      </c>
      <c r="L205" t="s">
        <v>427</v>
      </c>
      <c r="M205">
        <v>166000000</v>
      </c>
      <c r="N205">
        <v>166000000</v>
      </c>
      <c r="O205">
        <v>132800000</v>
      </c>
      <c r="P205">
        <v>132800000</v>
      </c>
      <c r="Q205" s="1">
        <v>45565</v>
      </c>
      <c r="R205" s="1">
        <v>45736</v>
      </c>
      <c r="S205">
        <v>80</v>
      </c>
      <c r="X205">
        <v>132800000</v>
      </c>
      <c r="AC205">
        <v>132800000</v>
      </c>
    </row>
    <row r="206" spans="1:36" hidden="1" x14ac:dyDescent="0.45">
      <c r="A206">
        <v>10318</v>
      </c>
      <c r="B206" t="s">
        <v>113</v>
      </c>
      <c r="C206" t="s">
        <v>46</v>
      </c>
      <c r="D206" t="s">
        <v>24</v>
      </c>
      <c r="E206" t="s">
        <v>47</v>
      </c>
      <c r="F206" t="s">
        <v>428</v>
      </c>
      <c r="G206">
        <v>3</v>
      </c>
      <c r="H206" t="s">
        <v>429</v>
      </c>
      <c r="I206" t="s">
        <v>423</v>
      </c>
      <c r="K206" t="s">
        <v>146</v>
      </c>
      <c r="L206" t="s">
        <v>234</v>
      </c>
      <c r="M206">
        <v>2600000000</v>
      </c>
      <c r="N206">
        <v>130000000</v>
      </c>
      <c r="O206">
        <v>1820000000</v>
      </c>
      <c r="P206">
        <v>91000000</v>
      </c>
      <c r="Q206" s="1">
        <v>45504</v>
      </c>
      <c r="R206" s="1">
        <v>45565</v>
      </c>
      <c r="S206">
        <v>70</v>
      </c>
      <c r="V206">
        <v>91000000</v>
      </c>
      <c r="AJ206">
        <v>91000000</v>
      </c>
    </row>
    <row r="207" spans="1:36" hidden="1" x14ac:dyDescent="0.45">
      <c r="A207">
        <v>10319</v>
      </c>
      <c r="B207" t="s">
        <v>113</v>
      </c>
      <c r="C207" t="s">
        <v>46</v>
      </c>
      <c r="D207" t="s">
        <v>24</v>
      </c>
      <c r="E207" t="s">
        <v>47</v>
      </c>
      <c r="F207" t="s">
        <v>430</v>
      </c>
      <c r="G207">
        <v>3</v>
      </c>
      <c r="H207" t="s">
        <v>431</v>
      </c>
      <c r="I207" t="s">
        <v>145</v>
      </c>
      <c r="K207" t="s">
        <v>146</v>
      </c>
      <c r="L207" t="s">
        <v>432</v>
      </c>
      <c r="M207">
        <v>80750000</v>
      </c>
      <c r="N207">
        <v>80750000</v>
      </c>
      <c r="O207">
        <v>56525000</v>
      </c>
      <c r="P207">
        <v>56525000</v>
      </c>
      <c r="Q207" s="1">
        <v>45463</v>
      </c>
      <c r="R207" s="1">
        <v>45555</v>
      </c>
      <c r="S207">
        <v>70</v>
      </c>
      <c r="X207">
        <v>56525000</v>
      </c>
      <c r="AC207">
        <v>56525000</v>
      </c>
    </row>
    <row r="208" spans="1:36" hidden="1" x14ac:dyDescent="0.45">
      <c r="A208">
        <v>10320</v>
      </c>
      <c r="B208" t="s">
        <v>113</v>
      </c>
      <c r="C208" t="s">
        <v>46</v>
      </c>
      <c r="D208" t="s">
        <v>24</v>
      </c>
      <c r="E208" t="s">
        <v>47</v>
      </c>
      <c r="F208" t="s">
        <v>430</v>
      </c>
      <c r="G208">
        <v>3</v>
      </c>
      <c r="H208" t="s">
        <v>431</v>
      </c>
      <c r="I208" t="s">
        <v>145</v>
      </c>
      <c r="K208" t="s">
        <v>146</v>
      </c>
      <c r="L208" t="s">
        <v>427</v>
      </c>
      <c r="M208">
        <v>80750000</v>
      </c>
      <c r="N208">
        <v>80750000</v>
      </c>
      <c r="O208">
        <v>56525000</v>
      </c>
      <c r="P208">
        <v>56525000</v>
      </c>
      <c r="Q208" s="1">
        <v>45463</v>
      </c>
      <c r="R208" s="1">
        <v>45646</v>
      </c>
      <c r="S208">
        <v>70</v>
      </c>
      <c r="X208">
        <v>56525000</v>
      </c>
      <c r="AC208">
        <v>56525000</v>
      </c>
    </row>
    <row r="209" spans="1:36" hidden="1" x14ac:dyDescent="0.45">
      <c r="A209">
        <v>10321</v>
      </c>
      <c r="B209" t="s">
        <v>113</v>
      </c>
      <c r="C209" t="s">
        <v>46</v>
      </c>
      <c r="D209" t="s">
        <v>24</v>
      </c>
      <c r="E209" t="s">
        <v>47</v>
      </c>
      <c r="F209" t="s">
        <v>430</v>
      </c>
      <c r="G209">
        <v>3</v>
      </c>
      <c r="H209" t="s">
        <v>431</v>
      </c>
      <c r="I209" t="s">
        <v>145</v>
      </c>
      <c r="K209" t="s">
        <v>146</v>
      </c>
      <c r="L209" t="s">
        <v>433</v>
      </c>
      <c r="M209">
        <v>80750000</v>
      </c>
      <c r="N209">
        <v>80750000</v>
      </c>
      <c r="O209">
        <v>56525000</v>
      </c>
      <c r="P209">
        <v>56525000</v>
      </c>
      <c r="Q209" s="1">
        <v>45463</v>
      </c>
      <c r="R209" s="1">
        <v>45736</v>
      </c>
      <c r="S209">
        <v>70</v>
      </c>
      <c r="X209">
        <v>56525000</v>
      </c>
      <c r="AC209">
        <v>56525000</v>
      </c>
    </row>
    <row r="210" spans="1:36" hidden="1" x14ac:dyDescent="0.45">
      <c r="A210">
        <v>10322</v>
      </c>
      <c r="B210" t="s">
        <v>113</v>
      </c>
      <c r="C210" t="s">
        <v>46</v>
      </c>
      <c r="D210" t="s">
        <v>24</v>
      </c>
      <c r="E210" t="s">
        <v>47</v>
      </c>
      <c r="F210" t="s">
        <v>430</v>
      </c>
      <c r="G210">
        <v>3</v>
      </c>
      <c r="H210" t="s">
        <v>431</v>
      </c>
      <c r="I210" t="s">
        <v>145</v>
      </c>
      <c r="K210" t="s">
        <v>146</v>
      </c>
      <c r="L210" t="s">
        <v>434</v>
      </c>
      <c r="M210">
        <v>80750000</v>
      </c>
      <c r="N210">
        <v>80750000</v>
      </c>
      <c r="O210">
        <v>56525000</v>
      </c>
      <c r="P210">
        <v>56525000</v>
      </c>
      <c r="Q210" s="1">
        <v>45463</v>
      </c>
      <c r="R210" s="1">
        <v>45828</v>
      </c>
      <c r="S210">
        <v>70</v>
      </c>
      <c r="X210">
        <v>56525000</v>
      </c>
      <c r="AC210">
        <v>56525000</v>
      </c>
    </row>
    <row r="211" spans="1:36" hidden="1" x14ac:dyDescent="0.45">
      <c r="A211">
        <v>10323</v>
      </c>
      <c r="B211" t="s">
        <v>88</v>
      </c>
      <c r="C211" t="s">
        <v>46</v>
      </c>
      <c r="D211" t="s">
        <v>24</v>
      </c>
      <c r="E211" t="s">
        <v>47</v>
      </c>
      <c r="F211" t="s">
        <v>435</v>
      </c>
      <c r="G211">
        <v>3</v>
      </c>
      <c r="H211" t="s">
        <v>436</v>
      </c>
      <c r="I211" t="s">
        <v>169</v>
      </c>
      <c r="K211" t="s">
        <v>146</v>
      </c>
      <c r="L211" t="s">
        <v>108</v>
      </c>
      <c r="M211">
        <v>4000000</v>
      </c>
      <c r="N211">
        <v>4000000</v>
      </c>
      <c r="O211">
        <v>2000000</v>
      </c>
      <c r="P211">
        <v>2000000</v>
      </c>
      <c r="Q211" s="1">
        <v>45535</v>
      </c>
      <c r="R211" s="1">
        <v>45565</v>
      </c>
      <c r="S211">
        <v>50</v>
      </c>
      <c r="X211">
        <v>2000000</v>
      </c>
      <c r="AC211">
        <v>2000000</v>
      </c>
    </row>
    <row r="212" spans="1:36" hidden="1" x14ac:dyDescent="0.45">
      <c r="A212">
        <v>10340</v>
      </c>
      <c r="B212" t="s">
        <v>58</v>
      </c>
      <c r="C212" t="s">
        <v>46</v>
      </c>
      <c r="D212" t="s">
        <v>24</v>
      </c>
      <c r="E212" t="s">
        <v>47</v>
      </c>
      <c r="F212" t="s">
        <v>437</v>
      </c>
      <c r="G212">
        <v>2</v>
      </c>
      <c r="H212" t="s">
        <v>438</v>
      </c>
      <c r="I212" t="s">
        <v>161</v>
      </c>
      <c r="K212" t="s">
        <v>66</v>
      </c>
      <c r="L212" t="s">
        <v>439</v>
      </c>
      <c r="M212">
        <v>10000000000</v>
      </c>
      <c r="N212">
        <v>2000000000</v>
      </c>
      <c r="O212">
        <v>4000000000</v>
      </c>
      <c r="P212">
        <v>800000000</v>
      </c>
      <c r="Q212" s="1">
        <v>45504</v>
      </c>
      <c r="R212" s="1">
        <v>45596</v>
      </c>
      <c r="S212">
        <v>40</v>
      </c>
      <c r="V212">
        <v>800000000</v>
      </c>
      <c r="AJ212">
        <v>800000000</v>
      </c>
    </row>
    <row r="213" spans="1:36" hidden="1" x14ac:dyDescent="0.45">
      <c r="A213">
        <v>10348</v>
      </c>
      <c r="B213" t="s">
        <v>58</v>
      </c>
      <c r="C213" t="s">
        <v>46</v>
      </c>
      <c r="D213" t="s">
        <v>24</v>
      </c>
      <c r="E213" t="s">
        <v>47</v>
      </c>
      <c r="F213" t="s">
        <v>440</v>
      </c>
      <c r="G213">
        <v>2</v>
      </c>
      <c r="H213" t="s">
        <v>441</v>
      </c>
      <c r="I213" t="s">
        <v>161</v>
      </c>
      <c r="K213" t="s">
        <v>66</v>
      </c>
      <c r="L213" t="s">
        <v>442</v>
      </c>
      <c r="M213">
        <v>3000000000</v>
      </c>
      <c r="N213">
        <v>835000000</v>
      </c>
      <c r="O213">
        <v>1500000000</v>
      </c>
      <c r="P213">
        <v>417500000</v>
      </c>
      <c r="Q213" s="1">
        <v>45504</v>
      </c>
      <c r="R213" s="1">
        <v>45626</v>
      </c>
      <c r="S213">
        <v>50</v>
      </c>
      <c r="V213">
        <v>417500000</v>
      </c>
      <c r="AD213">
        <v>417500000</v>
      </c>
    </row>
    <row r="214" spans="1:36" hidden="1" x14ac:dyDescent="0.45">
      <c r="A214">
        <v>10356</v>
      </c>
      <c r="B214" t="s">
        <v>45</v>
      </c>
      <c r="C214" t="s">
        <v>46</v>
      </c>
      <c r="D214" t="s">
        <v>24</v>
      </c>
      <c r="E214" t="s">
        <v>47</v>
      </c>
      <c r="F214" t="s">
        <v>443</v>
      </c>
      <c r="G214">
        <v>1</v>
      </c>
      <c r="H214" t="s">
        <v>444</v>
      </c>
      <c r="I214" t="s">
        <v>41</v>
      </c>
      <c r="K214" t="s">
        <v>42</v>
      </c>
      <c r="L214" t="s">
        <v>77</v>
      </c>
      <c r="M214">
        <v>60000000</v>
      </c>
      <c r="N214">
        <v>60000000</v>
      </c>
      <c r="O214">
        <v>24000000</v>
      </c>
      <c r="P214">
        <v>24000000</v>
      </c>
      <c r="Q214" s="1">
        <v>45471</v>
      </c>
      <c r="R214" s="1">
        <v>45499</v>
      </c>
      <c r="S214">
        <v>40</v>
      </c>
      <c r="Y214">
        <v>24000000</v>
      </c>
      <c r="AG214">
        <v>24000000</v>
      </c>
    </row>
    <row r="215" spans="1:36" hidden="1" x14ac:dyDescent="0.45">
      <c r="A215">
        <v>10357</v>
      </c>
      <c r="B215" t="s">
        <v>45</v>
      </c>
      <c r="C215" t="s">
        <v>46</v>
      </c>
      <c r="D215" t="s">
        <v>24</v>
      </c>
      <c r="E215" t="s">
        <v>47</v>
      </c>
      <c r="F215" t="s">
        <v>445</v>
      </c>
      <c r="G215">
        <v>1</v>
      </c>
      <c r="H215" t="s">
        <v>446</v>
      </c>
      <c r="I215" t="s">
        <v>447</v>
      </c>
      <c r="K215" t="s">
        <v>42</v>
      </c>
      <c r="L215" t="s">
        <v>102</v>
      </c>
      <c r="M215">
        <v>1000000000</v>
      </c>
      <c r="N215">
        <v>1000000000</v>
      </c>
      <c r="O215">
        <v>200000000</v>
      </c>
      <c r="P215">
        <v>200000000</v>
      </c>
      <c r="Q215" s="1">
        <v>45504</v>
      </c>
      <c r="R215" s="1">
        <v>45534</v>
      </c>
      <c r="S215">
        <v>20</v>
      </c>
      <c r="W215">
        <v>200000000</v>
      </c>
      <c r="AG215">
        <v>200000000</v>
      </c>
    </row>
    <row r="216" spans="1:36" hidden="1" x14ac:dyDescent="0.45">
      <c r="A216">
        <v>11737</v>
      </c>
      <c r="B216" t="s">
        <v>448</v>
      </c>
      <c r="C216" t="s">
        <v>36</v>
      </c>
      <c r="D216" t="s">
        <v>37</v>
      </c>
      <c r="E216" t="s">
        <v>38</v>
      </c>
      <c r="F216" t="s">
        <v>449</v>
      </c>
      <c r="G216">
        <v>1</v>
      </c>
      <c r="H216" t="s">
        <v>450</v>
      </c>
      <c r="I216" t="s">
        <v>451</v>
      </c>
      <c r="J216" t="s">
        <v>1133</v>
      </c>
      <c r="K216" t="s">
        <v>42</v>
      </c>
      <c r="L216" t="s">
        <v>452</v>
      </c>
      <c r="M216" s="2">
        <v>300000000</v>
      </c>
      <c r="N216" s="2">
        <v>90000000</v>
      </c>
      <c r="O216" s="2">
        <v>150000000</v>
      </c>
      <c r="P216" s="2">
        <v>45000000</v>
      </c>
      <c r="Q216" s="1">
        <v>46234</v>
      </c>
      <c r="R216" s="1">
        <v>46265</v>
      </c>
      <c r="S216">
        <v>50</v>
      </c>
      <c r="V216">
        <v>45000000</v>
      </c>
      <c r="AH216">
        <v>45000000</v>
      </c>
    </row>
    <row r="217" spans="1:36" hidden="1" x14ac:dyDescent="0.45">
      <c r="A217">
        <v>11738</v>
      </c>
      <c r="B217" t="s">
        <v>448</v>
      </c>
      <c r="C217" t="s">
        <v>36</v>
      </c>
      <c r="D217" t="s">
        <v>37</v>
      </c>
      <c r="E217" t="s">
        <v>38</v>
      </c>
      <c r="F217" t="s">
        <v>449</v>
      </c>
      <c r="G217">
        <v>1</v>
      </c>
      <c r="H217" t="s">
        <v>450</v>
      </c>
      <c r="I217" t="s">
        <v>451</v>
      </c>
      <c r="J217" t="s">
        <v>1133</v>
      </c>
      <c r="K217" t="s">
        <v>42</v>
      </c>
      <c r="L217" t="s">
        <v>453</v>
      </c>
      <c r="M217" s="2">
        <v>100000000</v>
      </c>
      <c r="N217" s="2">
        <v>30000000</v>
      </c>
      <c r="O217" s="2">
        <v>50000000</v>
      </c>
      <c r="P217" s="2">
        <v>15000000</v>
      </c>
      <c r="Q217" s="1">
        <v>46234</v>
      </c>
      <c r="R217" s="1">
        <v>46326</v>
      </c>
      <c r="S217">
        <v>50</v>
      </c>
      <c r="V217">
        <v>15000000</v>
      </c>
      <c r="AH217">
        <v>15000000</v>
      </c>
    </row>
    <row r="218" spans="1:36" hidden="1" x14ac:dyDescent="0.45">
      <c r="A218">
        <v>11777</v>
      </c>
      <c r="B218" t="s">
        <v>454</v>
      </c>
      <c r="C218" t="s">
        <v>36</v>
      </c>
      <c r="D218" t="s">
        <v>37</v>
      </c>
      <c r="E218" t="s">
        <v>38</v>
      </c>
      <c r="F218" t="s">
        <v>455</v>
      </c>
      <c r="G218">
        <v>4</v>
      </c>
      <c r="H218" t="s">
        <v>456</v>
      </c>
      <c r="I218" t="s">
        <v>457</v>
      </c>
      <c r="J218" t="s">
        <v>1132</v>
      </c>
      <c r="K218" t="s">
        <v>51</v>
      </c>
      <c r="L218" t="s">
        <v>458</v>
      </c>
      <c r="M218" s="2">
        <v>673000000</v>
      </c>
      <c r="N218" s="2">
        <v>178000000</v>
      </c>
      <c r="O218" s="2">
        <v>336500000</v>
      </c>
      <c r="P218" s="2">
        <v>89000000</v>
      </c>
      <c r="Q218" s="1">
        <v>46202</v>
      </c>
      <c r="R218" s="1">
        <v>46301</v>
      </c>
      <c r="S218">
        <v>50</v>
      </c>
      <c r="V218">
        <v>43750000</v>
      </c>
      <c r="X218">
        <v>45250000</v>
      </c>
      <c r="AH218">
        <v>89000000</v>
      </c>
    </row>
    <row r="219" spans="1:36" hidden="1" x14ac:dyDescent="0.45">
      <c r="A219">
        <v>11784</v>
      </c>
      <c r="B219" t="s">
        <v>459</v>
      </c>
      <c r="C219" t="s">
        <v>36</v>
      </c>
      <c r="D219" t="s">
        <v>37</v>
      </c>
      <c r="E219" t="s">
        <v>38</v>
      </c>
      <c r="F219" t="s">
        <v>460</v>
      </c>
      <c r="G219">
        <v>1</v>
      </c>
      <c r="H219" t="s">
        <v>461</v>
      </c>
      <c r="I219" t="s">
        <v>462</v>
      </c>
      <c r="K219" t="s">
        <v>42</v>
      </c>
      <c r="L219" t="s">
        <v>463</v>
      </c>
      <c r="M219">
        <v>260000000</v>
      </c>
      <c r="N219">
        <v>260000000</v>
      </c>
      <c r="O219">
        <v>182000000</v>
      </c>
      <c r="P219">
        <v>182000000</v>
      </c>
      <c r="Q219" s="1">
        <v>46356</v>
      </c>
      <c r="R219" s="1">
        <v>46357</v>
      </c>
      <c r="S219">
        <v>70</v>
      </c>
      <c r="X219">
        <v>182000000</v>
      </c>
      <c r="AH219">
        <v>182000000</v>
      </c>
    </row>
    <row r="220" spans="1:36" hidden="1" x14ac:dyDescent="0.45">
      <c r="A220">
        <v>11785</v>
      </c>
      <c r="B220" t="s">
        <v>459</v>
      </c>
      <c r="C220" t="s">
        <v>36</v>
      </c>
      <c r="D220" t="s">
        <v>37</v>
      </c>
      <c r="E220" t="s">
        <v>38</v>
      </c>
      <c r="F220" t="s">
        <v>460</v>
      </c>
      <c r="G220">
        <v>1</v>
      </c>
      <c r="H220" t="s">
        <v>461</v>
      </c>
      <c r="I220" t="s">
        <v>462</v>
      </c>
      <c r="K220" t="s">
        <v>42</v>
      </c>
      <c r="L220" t="s">
        <v>464</v>
      </c>
      <c r="M220">
        <v>390000000</v>
      </c>
      <c r="N220">
        <v>390000000</v>
      </c>
      <c r="O220">
        <v>273000000</v>
      </c>
      <c r="P220">
        <v>273000000</v>
      </c>
      <c r="Q220" s="1">
        <v>46356</v>
      </c>
      <c r="R220" s="1">
        <v>46752</v>
      </c>
      <c r="S220">
        <v>70</v>
      </c>
      <c r="X220">
        <v>273000000</v>
      </c>
      <c r="AH220">
        <v>273000000</v>
      </c>
    </row>
    <row r="221" spans="1:36" hidden="1" x14ac:dyDescent="0.45">
      <c r="A221">
        <v>11786</v>
      </c>
      <c r="B221" t="s">
        <v>459</v>
      </c>
      <c r="C221" t="s">
        <v>36</v>
      </c>
      <c r="D221" t="s">
        <v>37</v>
      </c>
      <c r="E221" t="s">
        <v>38</v>
      </c>
      <c r="F221" t="s">
        <v>460</v>
      </c>
      <c r="G221">
        <v>1</v>
      </c>
      <c r="H221" t="s">
        <v>461</v>
      </c>
      <c r="I221" t="s">
        <v>462</v>
      </c>
      <c r="K221" t="s">
        <v>42</v>
      </c>
      <c r="L221" t="s">
        <v>221</v>
      </c>
      <c r="M221">
        <v>650000000</v>
      </c>
      <c r="N221">
        <v>650000000</v>
      </c>
      <c r="O221">
        <v>455000000</v>
      </c>
      <c r="P221">
        <v>455000000</v>
      </c>
      <c r="Q221" s="1">
        <v>46356</v>
      </c>
      <c r="R221" s="1">
        <v>46384</v>
      </c>
      <c r="S221">
        <v>70</v>
      </c>
      <c r="X221">
        <v>455000000</v>
      </c>
      <c r="AH221">
        <v>455000000</v>
      </c>
    </row>
    <row r="222" spans="1:36" hidden="1" x14ac:dyDescent="0.45">
      <c r="A222">
        <v>11872</v>
      </c>
      <c r="B222" t="s">
        <v>454</v>
      </c>
      <c r="C222" t="s">
        <v>36</v>
      </c>
      <c r="D222" t="s">
        <v>37</v>
      </c>
      <c r="E222" t="s">
        <v>38</v>
      </c>
      <c r="F222" t="s">
        <v>455</v>
      </c>
      <c r="G222">
        <v>4</v>
      </c>
      <c r="H222" t="s">
        <v>456</v>
      </c>
      <c r="I222" t="s">
        <v>457</v>
      </c>
      <c r="J222" t="s">
        <v>1132</v>
      </c>
      <c r="K222" t="s">
        <v>51</v>
      </c>
      <c r="L222" t="s">
        <v>465</v>
      </c>
      <c r="M222" s="2">
        <v>403800000</v>
      </c>
      <c r="N222" s="2">
        <v>106800000</v>
      </c>
      <c r="O222" s="2">
        <v>201900000</v>
      </c>
      <c r="P222" s="2">
        <v>53400000</v>
      </c>
      <c r="Q222" s="1">
        <v>46202</v>
      </c>
      <c r="R222" s="1">
        <v>46218</v>
      </c>
      <c r="S222">
        <v>50</v>
      </c>
      <c r="V222">
        <v>26250000</v>
      </c>
      <c r="X222">
        <v>27150000</v>
      </c>
      <c r="AH222">
        <v>53400000</v>
      </c>
    </row>
    <row r="223" spans="1:36" hidden="1" x14ac:dyDescent="0.45">
      <c r="A223">
        <v>11918</v>
      </c>
      <c r="B223" t="s">
        <v>448</v>
      </c>
      <c r="C223" t="s">
        <v>36</v>
      </c>
      <c r="D223" t="s">
        <v>37</v>
      </c>
      <c r="E223" t="s">
        <v>38</v>
      </c>
      <c r="F223" t="s">
        <v>466</v>
      </c>
      <c r="G223">
        <v>2</v>
      </c>
      <c r="H223" t="s">
        <v>467</v>
      </c>
      <c r="I223" t="s">
        <v>468</v>
      </c>
      <c r="J223" t="s">
        <v>1132</v>
      </c>
      <c r="K223" t="s">
        <v>66</v>
      </c>
      <c r="L223" t="s">
        <v>469</v>
      </c>
      <c r="M223" s="2">
        <v>60000000</v>
      </c>
      <c r="N223" s="2">
        <v>60000000</v>
      </c>
      <c r="O223" s="2">
        <v>30000000</v>
      </c>
      <c r="P223" s="2">
        <v>30000000</v>
      </c>
      <c r="Q223" s="1">
        <v>46234</v>
      </c>
      <c r="R223" s="1">
        <v>46265</v>
      </c>
      <c r="S223">
        <v>50</v>
      </c>
      <c r="X223">
        <v>30000000</v>
      </c>
      <c r="AH223">
        <v>30000000</v>
      </c>
    </row>
    <row r="224" spans="1:36" hidden="1" x14ac:dyDescent="0.45">
      <c r="A224">
        <v>11919</v>
      </c>
      <c r="B224" t="s">
        <v>448</v>
      </c>
      <c r="C224" t="s">
        <v>36</v>
      </c>
      <c r="D224" t="s">
        <v>37</v>
      </c>
      <c r="E224" t="s">
        <v>38</v>
      </c>
      <c r="F224" t="s">
        <v>466</v>
      </c>
      <c r="G224">
        <v>2</v>
      </c>
      <c r="H224" t="s">
        <v>467</v>
      </c>
      <c r="I224" t="s">
        <v>468</v>
      </c>
      <c r="J224" t="s">
        <v>1132</v>
      </c>
      <c r="K224" t="s">
        <v>66</v>
      </c>
      <c r="L224" t="s">
        <v>470</v>
      </c>
      <c r="M224" s="2">
        <v>90000000</v>
      </c>
      <c r="N224" s="2">
        <v>90000000</v>
      </c>
      <c r="O224" s="2">
        <v>45000000</v>
      </c>
      <c r="P224" s="2">
        <v>45000000</v>
      </c>
      <c r="Q224" s="1">
        <v>46234</v>
      </c>
      <c r="R224" s="1">
        <v>46326</v>
      </c>
      <c r="S224">
        <v>50</v>
      </c>
      <c r="X224">
        <v>45000000</v>
      </c>
      <c r="AH224">
        <v>45000000</v>
      </c>
    </row>
    <row r="225" spans="1:34" hidden="1" x14ac:dyDescent="0.45">
      <c r="A225">
        <v>12054</v>
      </c>
      <c r="B225" t="s">
        <v>448</v>
      </c>
      <c r="C225" t="s">
        <v>36</v>
      </c>
      <c r="D225" t="s">
        <v>37</v>
      </c>
      <c r="E225" t="s">
        <v>38</v>
      </c>
      <c r="F225" t="s">
        <v>471</v>
      </c>
      <c r="G225">
        <v>1</v>
      </c>
      <c r="H225" t="s">
        <v>472</v>
      </c>
      <c r="I225" t="s">
        <v>473</v>
      </c>
      <c r="J225" t="s">
        <v>1132</v>
      </c>
      <c r="K225" t="s">
        <v>42</v>
      </c>
      <c r="L225" t="s">
        <v>469</v>
      </c>
      <c r="M225" s="2">
        <v>16000000</v>
      </c>
      <c r="N225" s="2">
        <v>16000000</v>
      </c>
      <c r="O225" s="2">
        <v>8000000</v>
      </c>
      <c r="P225" s="2">
        <v>8000000</v>
      </c>
      <c r="Q225" s="1">
        <v>46326</v>
      </c>
      <c r="R225" s="1">
        <v>46356</v>
      </c>
      <c r="S225">
        <v>50</v>
      </c>
      <c r="Y225">
        <v>8000000</v>
      </c>
      <c r="AH225">
        <v>8000000</v>
      </c>
    </row>
    <row r="226" spans="1:34" hidden="1" x14ac:dyDescent="0.45">
      <c r="A226">
        <v>12055</v>
      </c>
      <c r="B226" t="s">
        <v>448</v>
      </c>
      <c r="C226" t="s">
        <v>36</v>
      </c>
      <c r="D226" t="s">
        <v>37</v>
      </c>
      <c r="E226" t="s">
        <v>38</v>
      </c>
      <c r="F226" t="s">
        <v>471</v>
      </c>
      <c r="G226">
        <v>1</v>
      </c>
      <c r="H226" t="s">
        <v>472</v>
      </c>
      <c r="I226" t="s">
        <v>473</v>
      </c>
      <c r="J226" t="s">
        <v>1132</v>
      </c>
      <c r="K226" t="s">
        <v>42</v>
      </c>
      <c r="L226" t="s">
        <v>470</v>
      </c>
      <c r="M226" s="2">
        <v>24000000</v>
      </c>
      <c r="N226" s="2">
        <v>24000000</v>
      </c>
      <c r="O226" s="2">
        <v>12000000</v>
      </c>
      <c r="P226" s="2">
        <v>12000000</v>
      </c>
      <c r="Q226" s="1">
        <v>46326</v>
      </c>
      <c r="R226" s="1">
        <v>46387</v>
      </c>
      <c r="S226">
        <v>50</v>
      </c>
      <c r="Y226">
        <v>12000000</v>
      </c>
      <c r="AH226">
        <v>12000000</v>
      </c>
    </row>
    <row r="227" spans="1:34" hidden="1" x14ac:dyDescent="0.45">
      <c r="A227">
        <v>12094</v>
      </c>
      <c r="B227" t="s">
        <v>454</v>
      </c>
      <c r="C227" t="s">
        <v>36</v>
      </c>
      <c r="D227" t="s">
        <v>37</v>
      </c>
      <c r="E227" t="s">
        <v>38</v>
      </c>
      <c r="F227" t="s">
        <v>474</v>
      </c>
      <c r="G227">
        <v>4</v>
      </c>
      <c r="H227" t="s">
        <v>475</v>
      </c>
      <c r="I227" t="s">
        <v>476</v>
      </c>
      <c r="J227" t="s">
        <v>1132</v>
      </c>
      <c r="K227" t="s">
        <v>51</v>
      </c>
      <c r="L227" t="s">
        <v>477</v>
      </c>
      <c r="M227" s="2">
        <v>40000000</v>
      </c>
      <c r="N227" s="2">
        <v>6733006.1200000001</v>
      </c>
      <c r="O227" s="2">
        <v>20000000</v>
      </c>
      <c r="P227" s="2">
        <v>3366503.06</v>
      </c>
      <c r="Q227" s="1">
        <v>46171</v>
      </c>
      <c r="R227" s="1">
        <v>46195</v>
      </c>
      <c r="S227">
        <v>50</v>
      </c>
      <c r="U227">
        <v>0</v>
      </c>
      <c r="V227">
        <v>774503.06</v>
      </c>
      <c r="X227">
        <v>2592000</v>
      </c>
      <c r="AH227">
        <v>3366503.06</v>
      </c>
    </row>
    <row r="228" spans="1:34" hidden="1" x14ac:dyDescent="0.45">
      <c r="A228">
        <v>12095</v>
      </c>
      <c r="B228" t="s">
        <v>454</v>
      </c>
      <c r="C228" t="s">
        <v>36</v>
      </c>
      <c r="D228" t="s">
        <v>37</v>
      </c>
      <c r="E228" t="s">
        <v>38</v>
      </c>
      <c r="F228" t="s">
        <v>474</v>
      </c>
      <c r="G228">
        <v>4</v>
      </c>
      <c r="H228" t="s">
        <v>475</v>
      </c>
      <c r="I228" t="s">
        <v>476</v>
      </c>
      <c r="J228" t="s">
        <v>1132</v>
      </c>
      <c r="K228" t="s">
        <v>51</v>
      </c>
      <c r="L228" t="s">
        <v>478</v>
      </c>
      <c r="M228" s="2">
        <v>85000000</v>
      </c>
      <c r="N228" s="2">
        <v>14290104.130000001</v>
      </c>
      <c r="O228" s="2">
        <v>42500000</v>
      </c>
      <c r="P228" s="2">
        <v>7145052.0700000003</v>
      </c>
      <c r="Q228" s="1">
        <v>46171</v>
      </c>
      <c r="R228" s="1">
        <v>46234</v>
      </c>
      <c r="S228">
        <v>50</v>
      </c>
      <c r="U228">
        <v>0</v>
      </c>
      <c r="V228">
        <v>1643802.07</v>
      </c>
      <c r="X228">
        <v>5501250</v>
      </c>
      <c r="AH228">
        <v>7145052.0700000003</v>
      </c>
    </row>
    <row r="229" spans="1:34" hidden="1" x14ac:dyDescent="0.45">
      <c r="A229">
        <v>12109</v>
      </c>
      <c r="B229" t="s">
        <v>479</v>
      </c>
      <c r="C229" t="s">
        <v>36</v>
      </c>
      <c r="D229" t="s">
        <v>37</v>
      </c>
      <c r="E229" t="s">
        <v>38</v>
      </c>
      <c r="F229" t="s">
        <v>480</v>
      </c>
      <c r="G229">
        <v>2</v>
      </c>
      <c r="H229" t="s">
        <v>481</v>
      </c>
      <c r="I229" t="s">
        <v>482</v>
      </c>
      <c r="K229" t="s">
        <v>66</v>
      </c>
      <c r="L229" t="s">
        <v>102</v>
      </c>
      <c r="M229">
        <v>75000000</v>
      </c>
      <c r="N229">
        <v>75000000</v>
      </c>
      <c r="O229">
        <v>37500000</v>
      </c>
      <c r="P229">
        <v>37500000</v>
      </c>
      <c r="Q229" s="1">
        <v>45869</v>
      </c>
      <c r="R229" s="1">
        <v>45900</v>
      </c>
      <c r="S229">
        <v>50</v>
      </c>
      <c r="X229">
        <v>37500000</v>
      </c>
      <c r="AH229">
        <v>37500000</v>
      </c>
    </row>
    <row r="230" spans="1:34" hidden="1" x14ac:dyDescent="0.45">
      <c r="A230">
        <v>12121</v>
      </c>
      <c r="B230" t="s">
        <v>454</v>
      </c>
      <c r="C230" t="s">
        <v>36</v>
      </c>
      <c r="D230" t="s">
        <v>37</v>
      </c>
      <c r="E230" t="s">
        <v>38</v>
      </c>
      <c r="F230" t="s">
        <v>455</v>
      </c>
      <c r="G230">
        <v>4</v>
      </c>
      <c r="H230" t="s">
        <v>456</v>
      </c>
      <c r="I230" t="s">
        <v>457</v>
      </c>
      <c r="J230" t="s">
        <v>1132</v>
      </c>
      <c r="K230" t="s">
        <v>51</v>
      </c>
      <c r="L230" t="s">
        <v>483</v>
      </c>
      <c r="M230" s="2">
        <v>269200000</v>
      </c>
      <c r="N230" s="2">
        <v>71200000</v>
      </c>
      <c r="O230" s="2">
        <v>134600000</v>
      </c>
      <c r="P230" s="2">
        <v>35600000</v>
      </c>
      <c r="Q230" s="1">
        <v>46202</v>
      </c>
      <c r="R230" s="1">
        <v>46665</v>
      </c>
      <c r="S230">
        <v>50</v>
      </c>
      <c r="V230">
        <v>17500000</v>
      </c>
      <c r="X230">
        <v>18100000</v>
      </c>
      <c r="AH230">
        <v>35600000</v>
      </c>
    </row>
    <row r="231" spans="1:34" hidden="1" x14ac:dyDescent="0.45">
      <c r="A231">
        <v>12160</v>
      </c>
      <c r="B231" t="s">
        <v>311</v>
      </c>
      <c r="C231" t="s">
        <v>36</v>
      </c>
      <c r="D231" t="s">
        <v>37</v>
      </c>
      <c r="E231" t="s">
        <v>38</v>
      </c>
      <c r="F231" t="s">
        <v>484</v>
      </c>
      <c r="G231">
        <v>2</v>
      </c>
      <c r="H231" t="s">
        <v>485</v>
      </c>
      <c r="I231" t="s">
        <v>486</v>
      </c>
      <c r="J231" t="s">
        <v>1133</v>
      </c>
      <c r="K231" t="s">
        <v>66</v>
      </c>
      <c r="L231" t="s">
        <v>487</v>
      </c>
      <c r="M231" s="2">
        <v>160000000</v>
      </c>
      <c r="N231" s="2">
        <v>30000000</v>
      </c>
      <c r="O231" s="2">
        <v>80000000</v>
      </c>
      <c r="P231" s="2">
        <v>15000000</v>
      </c>
      <c r="Q231" s="1">
        <v>46192</v>
      </c>
      <c r="R231" s="1">
        <v>46227</v>
      </c>
      <c r="S231">
        <v>50</v>
      </c>
      <c r="V231">
        <v>15000000</v>
      </c>
      <c r="AH231">
        <v>15000000</v>
      </c>
    </row>
    <row r="232" spans="1:34" hidden="1" x14ac:dyDescent="0.45">
      <c r="A232">
        <v>12191</v>
      </c>
      <c r="B232" t="s">
        <v>448</v>
      </c>
      <c r="C232" t="s">
        <v>36</v>
      </c>
      <c r="D232" t="s">
        <v>37</v>
      </c>
      <c r="E232" t="s">
        <v>38</v>
      </c>
      <c r="F232" t="s">
        <v>488</v>
      </c>
      <c r="G232">
        <v>5</v>
      </c>
      <c r="H232" t="s">
        <v>489</v>
      </c>
      <c r="I232" t="s">
        <v>490</v>
      </c>
      <c r="J232" t="s">
        <v>1132</v>
      </c>
      <c r="K232" t="s">
        <v>210</v>
      </c>
      <c r="L232" t="s">
        <v>491</v>
      </c>
      <c r="M232" s="2">
        <v>95833333</v>
      </c>
      <c r="N232" s="2">
        <v>95795000</v>
      </c>
      <c r="O232" s="2">
        <v>47916666.5</v>
      </c>
      <c r="P232" s="2">
        <v>47897500</v>
      </c>
      <c r="Q232" s="1">
        <v>46142</v>
      </c>
      <c r="R232" s="1">
        <v>46173</v>
      </c>
      <c r="S232">
        <v>50</v>
      </c>
      <c r="X232">
        <v>47897500</v>
      </c>
      <c r="AH232">
        <v>47897500</v>
      </c>
    </row>
    <row r="233" spans="1:34" hidden="1" x14ac:dyDescent="0.45">
      <c r="A233">
        <v>12192</v>
      </c>
      <c r="B233" t="s">
        <v>448</v>
      </c>
      <c r="C233" t="s">
        <v>36</v>
      </c>
      <c r="D233" t="s">
        <v>37</v>
      </c>
      <c r="E233" t="s">
        <v>38</v>
      </c>
      <c r="F233" t="s">
        <v>488</v>
      </c>
      <c r="G233">
        <v>5</v>
      </c>
      <c r="H233" t="s">
        <v>489</v>
      </c>
      <c r="I233" t="s">
        <v>490</v>
      </c>
      <c r="J233" t="s">
        <v>1132</v>
      </c>
      <c r="K233" t="s">
        <v>210</v>
      </c>
      <c r="L233" t="s">
        <v>492</v>
      </c>
      <c r="M233" s="2">
        <v>95833333</v>
      </c>
      <c r="N233" s="2">
        <v>95795000</v>
      </c>
      <c r="O233" s="2">
        <v>47916666.5</v>
      </c>
      <c r="P233" s="2">
        <v>47897500</v>
      </c>
      <c r="Q233" s="1">
        <v>46142</v>
      </c>
      <c r="R233" s="1">
        <v>46203</v>
      </c>
      <c r="S233">
        <v>50</v>
      </c>
      <c r="X233">
        <v>47897500</v>
      </c>
      <c r="AH233">
        <v>47897500</v>
      </c>
    </row>
    <row r="234" spans="1:34" hidden="1" x14ac:dyDescent="0.45">
      <c r="A234">
        <v>12199</v>
      </c>
      <c r="B234" t="s">
        <v>448</v>
      </c>
      <c r="C234" t="s">
        <v>36</v>
      </c>
      <c r="D234" t="s">
        <v>37</v>
      </c>
      <c r="E234" t="s">
        <v>38</v>
      </c>
      <c r="F234" t="s">
        <v>493</v>
      </c>
      <c r="G234">
        <v>2</v>
      </c>
      <c r="H234" t="s">
        <v>494</v>
      </c>
      <c r="I234" t="s">
        <v>473</v>
      </c>
      <c r="J234" t="s">
        <v>1132</v>
      </c>
      <c r="K234" t="s">
        <v>66</v>
      </c>
      <c r="L234" t="s">
        <v>491</v>
      </c>
      <c r="M234" s="2">
        <v>6800000</v>
      </c>
      <c r="N234" s="2">
        <v>2039184</v>
      </c>
      <c r="O234" s="2">
        <v>3400000</v>
      </c>
      <c r="P234" s="2">
        <v>1019592</v>
      </c>
      <c r="Q234" s="1">
        <v>46234</v>
      </c>
      <c r="R234" s="1">
        <v>46234</v>
      </c>
      <c r="S234">
        <v>50</v>
      </c>
      <c r="V234">
        <v>1019592</v>
      </c>
      <c r="AH234">
        <v>1019592</v>
      </c>
    </row>
    <row r="235" spans="1:34" hidden="1" x14ac:dyDescent="0.45">
      <c r="A235">
        <v>12210</v>
      </c>
      <c r="B235" t="s">
        <v>448</v>
      </c>
      <c r="C235" t="s">
        <v>36</v>
      </c>
      <c r="D235" t="s">
        <v>37</v>
      </c>
      <c r="E235" t="s">
        <v>38</v>
      </c>
      <c r="F235" t="s">
        <v>449</v>
      </c>
      <c r="G235">
        <v>1</v>
      </c>
      <c r="H235" t="s">
        <v>450</v>
      </c>
      <c r="I235" t="s">
        <v>451</v>
      </c>
      <c r="J235" t="s">
        <v>1133</v>
      </c>
      <c r="K235" t="s">
        <v>42</v>
      </c>
      <c r="L235" t="s">
        <v>495</v>
      </c>
      <c r="M235" s="2">
        <v>100000000</v>
      </c>
      <c r="N235" s="2">
        <v>30000000</v>
      </c>
      <c r="O235" s="2">
        <v>50000000</v>
      </c>
      <c r="P235" s="2">
        <v>15000000</v>
      </c>
      <c r="Q235" s="1">
        <v>46234</v>
      </c>
      <c r="R235" s="1">
        <v>46356</v>
      </c>
      <c r="S235">
        <v>50</v>
      </c>
      <c r="V235">
        <v>15000000</v>
      </c>
      <c r="AH235">
        <v>15000000</v>
      </c>
    </row>
    <row r="236" spans="1:34" hidden="1" x14ac:dyDescent="0.45">
      <c r="A236">
        <v>12300</v>
      </c>
      <c r="B236" t="s">
        <v>454</v>
      </c>
      <c r="C236" t="s">
        <v>36</v>
      </c>
      <c r="D236" t="s">
        <v>37</v>
      </c>
      <c r="E236" t="s">
        <v>38</v>
      </c>
      <c r="F236" t="s">
        <v>496</v>
      </c>
      <c r="G236">
        <v>1</v>
      </c>
      <c r="H236" t="s">
        <v>497</v>
      </c>
      <c r="I236" t="s">
        <v>498</v>
      </c>
      <c r="J236" t="s">
        <v>1133</v>
      </c>
      <c r="K236" t="s">
        <v>42</v>
      </c>
      <c r="L236" t="s">
        <v>499</v>
      </c>
      <c r="M236" s="2">
        <v>20000000</v>
      </c>
      <c r="N236" s="2">
        <v>20000000</v>
      </c>
      <c r="O236" s="2">
        <v>10000000</v>
      </c>
      <c r="P236" s="2">
        <v>10000000</v>
      </c>
      <c r="Q236" s="1">
        <v>46322</v>
      </c>
      <c r="R236" s="1">
        <v>46331</v>
      </c>
      <c r="S236">
        <v>50</v>
      </c>
      <c r="X236">
        <v>10000000</v>
      </c>
      <c r="AH236">
        <v>10000000</v>
      </c>
    </row>
    <row r="237" spans="1:34" hidden="1" x14ac:dyDescent="0.45">
      <c r="A237">
        <v>12301</v>
      </c>
      <c r="B237" t="s">
        <v>454</v>
      </c>
      <c r="C237" t="s">
        <v>36</v>
      </c>
      <c r="D237" t="s">
        <v>37</v>
      </c>
      <c r="E237" t="s">
        <v>38</v>
      </c>
      <c r="F237" t="s">
        <v>496</v>
      </c>
      <c r="G237">
        <v>1</v>
      </c>
      <c r="H237" t="s">
        <v>497</v>
      </c>
      <c r="I237" t="s">
        <v>498</v>
      </c>
      <c r="J237" t="s">
        <v>1133</v>
      </c>
      <c r="K237" t="s">
        <v>42</v>
      </c>
      <c r="L237" t="s">
        <v>500</v>
      </c>
      <c r="M237" s="2">
        <v>15000000</v>
      </c>
      <c r="N237" s="2">
        <v>15000000</v>
      </c>
      <c r="O237" s="2">
        <v>7500000</v>
      </c>
      <c r="P237" s="2">
        <v>7500000</v>
      </c>
      <c r="Q237" s="1">
        <v>46322</v>
      </c>
      <c r="R237" s="1">
        <v>46356</v>
      </c>
      <c r="S237">
        <v>50</v>
      </c>
      <c r="X237">
        <v>7500000</v>
      </c>
      <c r="AH237">
        <v>7500000</v>
      </c>
    </row>
    <row r="238" spans="1:34" hidden="1" x14ac:dyDescent="0.45">
      <c r="A238">
        <v>12302</v>
      </c>
      <c r="B238" t="s">
        <v>454</v>
      </c>
      <c r="C238" t="s">
        <v>36</v>
      </c>
      <c r="D238" t="s">
        <v>37</v>
      </c>
      <c r="E238" t="s">
        <v>38</v>
      </c>
      <c r="F238" t="s">
        <v>496</v>
      </c>
      <c r="G238">
        <v>1</v>
      </c>
      <c r="H238" t="s">
        <v>497</v>
      </c>
      <c r="I238" t="s">
        <v>498</v>
      </c>
      <c r="J238" t="s">
        <v>1133</v>
      </c>
      <c r="K238" t="s">
        <v>42</v>
      </c>
      <c r="L238" t="s">
        <v>464</v>
      </c>
      <c r="M238" s="2">
        <v>15000000</v>
      </c>
      <c r="N238" s="2">
        <v>15000000</v>
      </c>
      <c r="O238" s="2">
        <v>7500000</v>
      </c>
      <c r="P238" s="2">
        <v>7500000</v>
      </c>
      <c r="Q238" s="1">
        <v>46322</v>
      </c>
      <c r="R238" s="1">
        <v>46377</v>
      </c>
      <c r="S238">
        <v>50</v>
      </c>
      <c r="X238">
        <v>7500000</v>
      </c>
      <c r="AH238">
        <v>7500000</v>
      </c>
    </row>
    <row r="239" spans="1:34" hidden="1" x14ac:dyDescent="0.45">
      <c r="A239">
        <v>12317</v>
      </c>
      <c r="B239" t="s">
        <v>454</v>
      </c>
      <c r="C239" t="s">
        <v>36</v>
      </c>
      <c r="D239" t="s">
        <v>37</v>
      </c>
      <c r="E239" t="s">
        <v>38</v>
      </c>
      <c r="F239" t="s">
        <v>501</v>
      </c>
      <c r="G239">
        <v>2</v>
      </c>
      <c r="H239" t="s">
        <v>502</v>
      </c>
      <c r="I239" t="s">
        <v>503</v>
      </c>
      <c r="J239" t="s">
        <v>1131</v>
      </c>
      <c r="K239" t="s">
        <v>66</v>
      </c>
      <c r="L239" t="s">
        <v>504</v>
      </c>
      <c r="M239" s="2">
        <v>180000000</v>
      </c>
      <c r="N239" s="2">
        <v>180000000</v>
      </c>
      <c r="O239" s="2">
        <v>90000000</v>
      </c>
      <c r="P239" s="2">
        <v>90000000</v>
      </c>
      <c r="Q239" s="1">
        <v>46217</v>
      </c>
      <c r="R239" s="1">
        <v>46233</v>
      </c>
      <c r="S239">
        <v>50</v>
      </c>
      <c r="X239">
        <v>90000000</v>
      </c>
      <c r="AH239">
        <v>90000000</v>
      </c>
    </row>
    <row r="240" spans="1:34" hidden="1" x14ac:dyDescent="0.45">
      <c r="A240">
        <v>12318</v>
      </c>
      <c r="B240" t="s">
        <v>454</v>
      </c>
      <c r="C240" t="s">
        <v>36</v>
      </c>
      <c r="D240" t="s">
        <v>37</v>
      </c>
      <c r="E240" t="s">
        <v>38</v>
      </c>
      <c r="F240" t="s">
        <v>501</v>
      </c>
      <c r="G240">
        <v>2</v>
      </c>
      <c r="H240" t="s">
        <v>502</v>
      </c>
      <c r="I240" t="s">
        <v>503</v>
      </c>
      <c r="J240" t="s">
        <v>1131</v>
      </c>
      <c r="K240" t="s">
        <v>66</v>
      </c>
      <c r="L240" t="s">
        <v>117</v>
      </c>
      <c r="M240" s="2">
        <v>90000000</v>
      </c>
      <c r="N240" s="2">
        <v>90000000</v>
      </c>
      <c r="O240" s="2">
        <v>45000000</v>
      </c>
      <c r="P240" s="2">
        <v>45000000</v>
      </c>
      <c r="Q240" s="1">
        <v>46217</v>
      </c>
      <c r="R240" s="1">
        <v>46292</v>
      </c>
      <c r="S240">
        <v>50</v>
      </c>
      <c r="X240">
        <v>45000000</v>
      </c>
      <c r="AH240">
        <v>45000000</v>
      </c>
    </row>
    <row r="241" spans="1:34" hidden="1" x14ac:dyDescent="0.45">
      <c r="A241">
        <v>12319</v>
      </c>
      <c r="B241" t="s">
        <v>454</v>
      </c>
      <c r="C241" t="s">
        <v>36</v>
      </c>
      <c r="D241" t="s">
        <v>37</v>
      </c>
      <c r="E241" t="s">
        <v>38</v>
      </c>
      <c r="F241" t="s">
        <v>501</v>
      </c>
      <c r="G241">
        <v>2</v>
      </c>
      <c r="H241" t="s">
        <v>502</v>
      </c>
      <c r="I241" t="s">
        <v>503</v>
      </c>
      <c r="J241" t="s">
        <v>1131</v>
      </c>
      <c r="K241" t="s">
        <v>66</v>
      </c>
      <c r="L241" t="s">
        <v>263</v>
      </c>
      <c r="M241" s="2">
        <v>90000000</v>
      </c>
      <c r="N241" s="2">
        <v>90000000</v>
      </c>
      <c r="O241" s="2">
        <v>45000000</v>
      </c>
      <c r="P241" s="2">
        <v>45000000</v>
      </c>
      <c r="Q241" s="1">
        <v>46217</v>
      </c>
      <c r="R241" s="1">
        <v>46325</v>
      </c>
      <c r="S241">
        <v>50</v>
      </c>
      <c r="X241">
        <v>45000000</v>
      </c>
      <c r="AH241">
        <v>45000000</v>
      </c>
    </row>
    <row r="242" spans="1:34" hidden="1" x14ac:dyDescent="0.45">
      <c r="A242">
        <v>12320</v>
      </c>
      <c r="B242" t="s">
        <v>454</v>
      </c>
      <c r="C242" t="s">
        <v>36</v>
      </c>
      <c r="D242" t="s">
        <v>37</v>
      </c>
      <c r="E242" t="s">
        <v>38</v>
      </c>
      <c r="F242" t="s">
        <v>501</v>
      </c>
      <c r="G242">
        <v>2</v>
      </c>
      <c r="H242" t="s">
        <v>502</v>
      </c>
      <c r="I242" t="s">
        <v>503</v>
      </c>
      <c r="J242" t="s">
        <v>1131</v>
      </c>
      <c r="K242" t="s">
        <v>66</v>
      </c>
      <c r="L242" t="s">
        <v>505</v>
      </c>
      <c r="M242" s="2">
        <v>90000000</v>
      </c>
      <c r="N242" s="2">
        <v>90000000</v>
      </c>
      <c r="O242" s="2">
        <v>45000000</v>
      </c>
      <c r="P242" s="2">
        <v>45000000</v>
      </c>
      <c r="Q242" s="1">
        <v>46217</v>
      </c>
      <c r="R242" s="1">
        <v>46346</v>
      </c>
      <c r="S242">
        <v>50</v>
      </c>
      <c r="X242">
        <v>45000000</v>
      </c>
      <c r="AH242">
        <v>45000000</v>
      </c>
    </row>
    <row r="243" spans="1:34" hidden="1" x14ac:dyDescent="0.45">
      <c r="A243">
        <v>12362</v>
      </c>
      <c r="B243" t="s">
        <v>448</v>
      </c>
      <c r="C243" t="s">
        <v>36</v>
      </c>
      <c r="D243" t="s">
        <v>37</v>
      </c>
      <c r="E243" t="s">
        <v>38</v>
      </c>
      <c r="F243" t="s">
        <v>506</v>
      </c>
      <c r="G243">
        <v>1</v>
      </c>
      <c r="H243" t="s">
        <v>507</v>
      </c>
      <c r="I243" t="s">
        <v>451</v>
      </c>
      <c r="J243" t="s">
        <v>1133</v>
      </c>
      <c r="K243" t="s">
        <v>42</v>
      </c>
      <c r="L243" t="s">
        <v>284</v>
      </c>
      <c r="M243" s="2">
        <v>500000000</v>
      </c>
      <c r="N243" s="2">
        <v>100000000</v>
      </c>
      <c r="O243" s="2">
        <v>250000000</v>
      </c>
      <c r="P243" s="2">
        <v>50000000</v>
      </c>
      <c r="Q243" s="1">
        <v>46234</v>
      </c>
      <c r="R243" s="1">
        <v>46265</v>
      </c>
      <c r="S243">
        <v>50</v>
      </c>
      <c r="V243">
        <v>50000000</v>
      </c>
      <c r="AH243">
        <v>50000000</v>
      </c>
    </row>
    <row r="244" spans="1:34" hidden="1" x14ac:dyDescent="0.45">
      <c r="A244">
        <v>12366</v>
      </c>
      <c r="B244" t="s">
        <v>454</v>
      </c>
      <c r="C244" t="s">
        <v>36</v>
      </c>
      <c r="D244" t="s">
        <v>37</v>
      </c>
      <c r="E244" t="s">
        <v>38</v>
      </c>
      <c r="F244" t="s">
        <v>474</v>
      </c>
      <c r="G244">
        <v>4</v>
      </c>
      <c r="H244" t="s">
        <v>475</v>
      </c>
      <c r="I244" t="s">
        <v>476</v>
      </c>
      <c r="J244" t="s">
        <v>1132</v>
      </c>
      <c r="K244" t="s">
        <v>51</v>
      </c>
      <c r="L244" t="s">
        <v>508</v>
      </c>
      <c r="M244" s="2">
        <v>85000000</v>
      </c>
      <c r="N244" s="2">
        <v>14290104.130000001</v>
      </c>
      <c r="O244" s="2">
        <v>42500000</v>
      </c>
      <c r="P244" s="2">
        <v>7145052.0700000003</v>
      </c>
      <c r="Q244" s="1">
        <v>46171</v>
      </c>
      <c r="R244" s="1">
        <v>46195</v>
      </c>
      <c r="S244">
        <v>50</v>
      </c>
      <c r="U244">
        <v>0</v>
      </c>
      <c r="V244">
        <v>1643802.07</v>
      </c>
      <c r="X244">
        <v>5501250</v>
      </c>
      <c r="AH244">
        <v>7145052.0700000003</v>
      </c>
    </row>
    <row r="245" spans="1:34" hidden="1" x14ac:dyDescent="0.45">
      <c r="A245">
        <v>12367</v>
      </c>
      <c r="B245" t="s">
        <v>454</v>
      </c>
      <c r="C245" t="s">
        <v>36</v>
      </c>
      <c r="D245" t="s">
        <v>37</v>
      </c>
      <c r="E245" t="s">
        <v>38</v>
      </c>
      <c r="F245" t="s">
        <v>509</v>
      </c>
      <c r="G245">
        <v>1</v>
      </c>
      <c r="H245" t="s">
        <v>510</v>
      </c>
      <c r="I245" t="s">
        <v>476</v>
      </c>
      <c r="J245" t="s">
        <v>1132</v>
      </c>
      <c r="K245" t="s">
        <v>42</v>
      </c>
      <c r="L245" t="s">
        <v>511</v>
      </c>
      <c r="M245" s="2">
        <v>360000000</v>
      </c>
      <c r="N245" s="2">
        <v>125216000</v>
      </c>
      <c r="O245" s="2">
        <v>180000000</v>
      </c>
      <c r="P245" s="2">
        <v>62608000</v>
      </c>
      <c r="Q245" s="1">
        <v>46286</v>
      </c>
      <c r="R245" s="1">
        <v>46316</v>
      </c>
      <c r="S245">
        <v>50</v>
      </c>
      <c r="V245">
        <v>23478000</v>
      </c>
      <c r="X245">
        <v>39130000</v>
      </c>
      <c r="AH245">
        <v>62608000</v>
      </c>
    </row>
    <row r="246" spans="1:34" hidden="1" x14ac:dyDescent="0.45">
      <c r="A246">
        <v>12368</v>
      </c>
      <c r="B246" t="s">
        <v>454</v>
      </c>
      <c r="C246" t="s">
        <v>36</v>
      </c>
      <c r="D246" t="s">
        <v>37</v>
      </c>
      <c r="E246" t="s">
        <v>38</v>
      </c>
      <c r="F246" t="s">
        <v>509</v>
      </c>
      <c r="G246">
        <v>1</v>
      </c>
      <c r="H246" t="s">
        <v>510</v>
      </c>
      <c r="I246" t="s">
        <v>476</v>
      </c>
      <c r="J246" t="s">
        <v>1132</v>
      </c>
      <c r="K246" t="s">
        <v>42</v>
      </c>
      <c r="L246" t="s">
        <v>478</v>
      </c>
      <c r="M246" s="2">
        <v>50000000</v>
      </c>
      <c r="N246" s="2">
        <v>17392000</v>
      </c>
      <c r="O246" s="2">
        <v>25000000</v>
      </c>
      <c r="P246" s="2">
        <v>8696000</v>
      </c>
      <c r="Q246" s="1">
        <v>46286</v>
      </c>
      <c r="R246" s="1">
        <v>46365</v>
      </c>
      <c r="S246">
        <v>50</v>
      </c>
      <c r="V246">
        <v>3261000</v>
      </c>
      <c r="X246">
        <v>5435000</v>
      </c>
      <c r="AH246">
        <v>8696000</v>
      </c>
    </row>
    <row r="247" spans="1:34" hidden="1" x14ac:dyDescent="0.45">
      <c r="A247">
        <v>12369</v>
      </c>
      <c r="B247" t="s">
        <v>454</v>
      </c>
      <c r="C247" t="s">
        <v>36</v>
      </c>
      <c r="D247" t="s">
        <v>37</v>
      </c>
      <c r="E247" t="s">
        <v>38</v>
      </c>
      <c r="F247" t="s">
        <v>512</v>
      </c>
      <c r="G247">
        <v>4</v>
      </c>
      <c r="H247" t="s">
        <v>513</v>
      </c>
      <c r="I247" t="s">
        <v>457</v>
      </c>
      <c r="J247" t="s">
        <v>1132</v>
      </c>
      <c r="K247" t="s">
        <v>51</v>
      </c>
      <c r="L247" t="s">
        <v>514</v>
      </c>
      <c r="M247" s="2">
        <v>360000000</v>
      </c>
      <c r="N247" s="2">
        <v>125216000</v>
      </c>
      <c r="O247" s="2">
        <v>180000000</v>
      </c>
      <c r="P247" s="2">
        <v>62608000</v>
      </c>
      <c r="Q247" s="1">
        <v>46218</v>
      </c>
      <c r="R247" s="1">
        <v>46233</v>
      </c>
      <c r="S247">
        <v>50</v>
      </c>
      <c r="V247">
        <v>23478000</v>
      </c>
      <c r="X247">
        <v>39130000</v>
      </c>
      <c r="AH247">
        <v>62608000</v>
      </c>
    </row>
    <row r="248" spans="1:34" hidden="1" x14ac:dyDescent="0.45">
      <c r="A248">
        <v>12370</v>
      </c>
      <c r="B248" t="s">
        <v>454</v>
      </c>
      <c r="C248" t="s">
        <v>36</v>
      </c>
      <c r="D248" t="s">
        <v>37</v>
      </c>
      <c r="E248" t="s">
        <v>38</v>
      </c>
      <c r="F248" t="s">
        <v>512</v>
      </c>
      <c r="G248">
        <v>4</v>
      </c>
      <c r="H248" t="s">
        <v>513</v>
      </c>
      <c r="I248" t="s">
        <v>457</v>
      </c>
      <c r="J248" t="s">
        <v>1132</v>
      </c>
      <c r="K248" t="s">
        <v>51</v>
      </c>
      <c r="L248" t="s">
        <v>478</v>
      </c>
      <c r="M248" s="2">
        <v>50000000</v>
      </c>
      <c r="N248" s="2">
        <v>17392000</v>
      </c>
      <c r="O248" s="2">
        <v>25000000</v>
      </c>
      <c r="P248" s="2">
        <v>8696000</v>
      </c>
      <c r="Q248" s="1">
        <v>46218</v>
      </c>
      <c r="R248" s="1">
        <v>46293</v>
      </c>
      <c r="S248">
        <v>50</v>
      </c>
      <c r="V248">
        <v>3261000</v>
      </c>
      <c r="X248">
        <v>5435000</v>
      </c>
      <c r="AH248">
        <v>8696000</v>
      </c>
    </row>
    <row r="249" spans="1:34" hidden="1" x14ac:dyDescent="0.45">
      <c r="A249">
        <v>12409</v>
      </c>
      <c r="B249" t="s">
        <v>515</v>
      </c>
      <c r="C249" t="s">
        <v>36</v>
      </c>
      <c r="D249" t="s">
        <v>37</v>
      </c>
      <c r="E249" t="s">
        <v>38</v>
      </c>
      <c r="F249" t="s">
        <v>516</v>
      </c>
      <c r="G249">
        <v>4</v>
      </c>
      <c r="H249" t="s">
        <v>517</v>
      </c>
      <c r="I249" t="s">
        <v>152</v>
      </c>
      <c r="J249" t="s">
        <v>1131</v>
      </c>
      <c r="K249" t="s">
        <v>51</v>
      </c>
      <c r="L249" t="s">
        <v>518</v>
      </c>
      <c r="M249" s="2">
        <v>2160000000</v>
      </c>
      <c r="N249" s="2">
        <v>510000000</v>
      </c>
      <c r="O249" s="2">
        <v>1512000000</v>
      </c>
      <c r="P249" s="2">
        <v>357000000</v>
      </c>
      <c r="Q249" s="1">
        <v>46203</v>
      </c>
      <c r="R249" s="1">
        <v>46203</v>
      </c>
      <c r="S249">
        <v>70</v>
      </c>
      <c r="V249">
        <v>35000000</v>
      </c>
      <c r="X249">
        <v>322000000</v>
      </c>
      <c r="AH249">
        <v>357000000</v>
      </c>
    </row>
    <row r="250" spans="1:34" hidden="1" x14ac:dyDescent="0.45">
      <c r="A250">
        <v>13420</v>
      </c>
      <c r="B250" t="s">
        <v>448</v>
      </c>
      <c r="C250" t="s">
        <v>36</v>
      </c>
      <c r="D250" t="s">
        <v>37</v>
      </c>
      <c r="E250" t="s">
        <v>38</v>
      </c>
      <c r="F250" t="s">
        <v>519</v>
      </c>
      <c r="G250">
        <v>1</v>
      </c>
      <c r="H250" t="s">
        <v>520</v>
      </c>
      <c r="I250" t="s">
        <v>521</v>
      </c>
      <c r="J250" t="s">
        <v>1132</v>
      </c>
      <c r="K250" t="s">
        <v>42</v>
      </c>
      <c r="L250" t="s">
        <v>284</v>
      </c>
      <c r="M250" s="2">
        <v>35000000</v>
      </c>
      <c r="N250" s="2">
        <v>15000000</v>
      </c>
      <c r="O250" s="2">
        <v>17500000</v>
      </c>
      <c r="P250" s="2">
        <v>7500000</v>
      </c>
      <c r="Q250" s="1">
        <v>46234</v>
      </c>
      <c r="R250" s="1">
        <v>46265</v>
      </c>
      <c r="S250">
        <v>50</v>
      </c>
      <c r="V250">
        <v>7500000</v>
      </c>
      <c r="AH250">
        <v>7500000</v>
      </c>
    </row>
    <row r="251" spans="1:34" hidden="1" x14ac:dyDescent="0.45">
      <c r="A251">
        <v>13425</v>
      </c>
      <c r="B251" t="s">
        <v>454</v>
      </c>
      <c r="C251" t="s">
        <v>36</v>
      </c>
      <c r="D251" t="s">
        <v>37</v>
      </c>
      <c r="E251" t="s">
        <v>38</v>
      </c>
      <c r="F251" t="s">
        <v>474</v>
      </c>
      <c r="G251">
        <v>4</v>
      </c>
      <c r="H251" t="s">
        <v>475</v>
      </c>
      <c r="I251" t="s">
        <v>476</v>
      </c>
      <c r="J251" t="s">
        <v>1132</v>
      </c>
      <c r="K251" t="s">
        <v>51</v>
      </c>
      <c r="L251" t="s">
        <v>522</v>
      </c>
      <c r="M251" s="2">
        <v>32500000</v>
      </c>
      <c r="N251" s="2">
        <v>5470567.4699999997</v>
      </c>
      <c r="O251" s="2">
        <v>16250000</v>
      </c>
      <c r="P251" s="2">
        <v>2735283.74</v>
      </c>
      <c r="Q251" s="1">
        <v>46171</v>
      </c>
      <c r="R251" s="1">
        <v>46195</v>
      </c>
      <c r="S251">
        <v>50</v>
      </c>
      <c r="U251">
        <v>0</v>
      </c>
      <c r="V251">
        <v>629283.74</v>
      </c>
      <c r="X251">
        <v>2106000</v>
      </c>
      <c r="AH251">
        <v>2735283.74</v>
      </c>
    </row>
    <row r="252" spans="1:34" hidden="1" x14ac:dyDescent="0.45">
      <c r="A252">
        <v>13426</v>
      </c>
      <c r="B252" t="s">
        <v>454</v>
      </c>
      <c r="C252" t="s">
        <v>36</v>
      </c>
      <c r="D252" t="s">
        <v>37</v>
      </c>
      <c r="E252" t="s">
        <v>38</v>
      </c>
      <c r="F252" t="s">
        <v>474</v>
      </c>
      <c r="G252">
        <v>4</v>
      </c>
      <c r="H252" t="s">
        <v>475</v>
      </c>
      <c r="I252" t="s">
        <v>476</v>
      </c>
      <c r="J252" t="s">
        <v>1132</v>
      </c>
      <c r="K252" t="s">
        <v>51</v>
      </c>
      <c r="L252" t="s">
        <v>523</v>
      </c>
      <c r="M252" s="2">
        <v>32500000</v>
      </c>
      <c r="N252" s="2">
        <v>5470567.4699999997</v>
      </c>
      <c r="O252" s="2">
        <v>16250000</v>
      </c>
      <c r="P252" s="2">
        <v>2735283.74</v>
      </c>
      <c r="Q252" s="1">
        <v>46171</v>
      </c>
      <c r="R252" s="1">
        <v>46554</v>
      </c>
      <c r="S252">
        <v>50</v>
      </c>
      <c r="U252">
        <v>0</v>
      </c>
      <c r="V252">
        <v>629283.74</v>
      </c>
      <c r="X252">
        <v>2106000</v>
      </c>
      <c r="AH252">
        <v>2735283.74</v>
      </c>
    </row>
    <row r="253" spans="1:34" hidden="1" x14ac:dyDescent="0.45">
      <c r="A253">
        <v>13447</v>
      </c>
      <c r="B253" t="s">
        <v>454</v>
      </c>
      <c r="C253" t="s">
        <v>36</v>
      </c>
      <c r="D253" t="s">
        <v>37</v>
      </c>
      <c r="E253" t="s">
        <v>38</v>
      </c>
      <c r="F253" t="s">
        <v>524</v>
      </c>
      <c r="G253">
        <v>1</v>
      </c>
      <c r="H253" t="s">
        <v>525</v>
      </c>
      <c r="I253" t="s">
        <v>503</v>
      </c>
      <c r="J253" t="s">
        <v>1131</v>
      </c>
      <c r="K253" t="s">
        <v>42</v>
      </c>
      <c r="L253" t="s">
        <v>220</v>
      </c>
      <c r="M253" s="2">
        <v>157500000</v>
      </c>
      <c r="N253" s="2">
        <v>157500000</v>
      </c>
      <c r="O253" s="2">
        <v>78750000</v>
      </c>
      <c r="P253" s="2">
        <v>78750000</v>
      </c>
      <c r="Q253" s="1">
        <v>46258</v>
      </c>
      <c r="R253" s="1">
        <v>46275</v>
      </c>
      <c r="S253">
        <v>50</v>
      </c>
      <c r="X253">
        <v>78750000</v>
      </c>
      <c r="AH253">
        <v>78750000</v>
      </c>
    </row>
    <row r="254" spans="1:34" hidden="1" x14ac:dyDescent="0.45">
      <c r="A254">
        <v>13448</v>
      </c>
      <c r="B254" t="s">
        <v>454</v>
      </c>
      <c r="C254" t="s">
        <v>36</v>
      </c>
      <c r="D254" t="s">
        <v>37</v>
      </c>
      <c r="E254" t="s">
        <v>38</v>
      </c>
      <c r="F254" t="s">
        <v>524</v>
      </c>
      <c r="G254">
        <v>1</v>
      </c>
      <c r="H254" t="s">
        <v>525</v>
      </c>
      <c r="I254" t="s">
        <v>503</v>
      </c>
      <c r="J254" t="s">
        <v>1131</v>
      </c>
      <c r="K254" t="s">
        <v>42</v>
      </c>
      <c r="L254" t="s">
        <v>253</v>
      </c>
      <c r="M254" s="2">
        <v>94500000</v>
      </c>
      <c r="N254" s="2">
        <v>94500000</v>
      </c>
      <c r="O254" s="2">
        <v>47250000</v>
      </c>
      <c r="P254" s="2">
        <v>47250000</v>
      </c>
      <c r="Q254" s="1">
        <v>46258</v>
      </c>
      <c r="R254" s="1">
        <v>46328</v>
      </c>
      <c r="S254">
        <v>50</v>
      </c>
      <c r="X254">
        <v>47250000</v>
      </c>
      <c r="AH254">
        <v>47250000</v>
      </c>
    </row>
    <row r="255" spans="1:34" hidden="1" x14ac:dyDescent="0.45">
      <c r="A255">
        <v>13449</v>
      </c>
      <c r="B255" t="s">
        <v>454</v>
      </c>
      <c r="C255" t="s">
        <v>36</v>
      </c>
      <c r="D255" t="s">
        <v>37</v>
      </c>
      <c r="E255" t="s">
        <v>38</v>
      </c>
      <c r="F255" t="s">
        <v>524</v>
      </c>
      <c r="G255">
        <v>1</v>
      </c>
      <c r="H255" t="s">
        <v>525</v>
      </c>
      <c r="I255" t="s">
        <v>503</v>
      </c>
      <c r="J255" t="s">
        <v>1131</v>
      </c>
      <c r="K255" t="s">
        <v>42</v>
      </c>
      <c r="L255" t="s">
        <v>505</v>
      </c>
      <c r="M255" s="2">
        <v>63000000</v>
      </c>
      <c r="N255" s="2">
        <v>63000000</v>
      </c>
      <c r="O255" s="2">
        <v>31500000</v>
      </c>
      <c r="P255" s="2">
        <v>31500000</v>
      </c>
      <c r="Q255" s="1">
        <v>46258</v>
      </c>
      <c r="R255" s="1">
        <v>46374</v>
      </c>
      <c r="S255">
        <v>50</v>
      </c>
      <c r="X255">
        <v>31500000</v>
      </c>
      <c r="AH255">
        <v>31500000</v>
      </c>
    </row>
    <row r="256" spans="1:34" hidden="1" x14ac:dyDescent="0.45">
      <c r="A256">
        <v>13451</v>
      </c>
      <c r="B256" t="s">
        <v>526</v>
      </c>
      <c r="C256" t="s">
        <v>36</v>
      </c>
      <c r="D256" t="s">
        <v>37</v>
      </c>
      <c r="E256" t="s">
        <v>38</v>
      </c>
      <c r="F256" t="s">
        <v>527</v>
      </c>
      <c r="G256">
        <v>3</v>
      </c>
      <c r="H256" t="s">
        <v>528</v>
      </c>
      <c r="I256" t="s">
        <v>529</v>
      </c>
      <c r="J256" t="s">
        <v>1133</v>
      </c>
      <c r="K256" t="s">
        <v>146</v>
      </c>
      <c r="L256" t="s">
        <v>442</v>
      </c>
      <c r="M256" s="2">
        <v>281000000</v>
      </c>
      <c r="N256" s="2">
        <v>51000000</v>
      </c>
      <c r="O256" s="2">
        <v>84300000</v>
      </c>
      <c r="P256" s="2">
        <v>15300000</v>
      </c>
      <c r="Q256" s="1">
        <v>46203</v>
      </c>
      <c r="R256" s="1">
        <v>46234</v>
      </c>
      <c r="S256">
        <v>30</v>
      </c>
      <c r="U256">
        <v>1500000</v>
      </c>
      <c r="V256">
        <v>13800000</v>
      </c>
      <c r="AH256">
        <v>15300000</v>
      </c>
    </row>
    <row r="257" spans="1:34" hidden="1" x14ac:dyDescent="0.45">
      <c r="A257">
        <v>13454</v>
      </c>
      <c r="B257" t="s">
        <v>454</v>
      </c>
      <c r="C257" t="s">
        <v>36</v>
      </c>
      <c r="D257" t="s">
        <v>37</v>
      </c>
      <c r="E257" t="s">
        <v>38</v>
      </c>
      <c r="F257" t="s">
        <v>512</v>
      </c>
      <c r="G257">
        <v>4</v>
      </c>
      <c r="H257" t="s">
        <v>513</v>
      </c>
      <c r="I257" t="s">
        <v>457</v>
      </c>
      <c r="J257" t="s">
        <v>1132</v>
      </c>
      <c r="K257" t="s">
        <v>51</v>
      </c>
      <c r="L257" t="s">
        <v>508</v>
      </c>
      <c r="M257" s="2">
        <v>50000000</v>
      </c>
      <c r="N257" s="2">
        <v>17392000</v>
      </c>
      <c r="O257" s="2">
        <v>25000000</v>
      </c>
      <c r="P257" s="2">
        <v>8696000</v>
      </c>
      <c r="Q257" s="1">
        <v>46218</v>
      </c>
      <c r="R257" s="1">
        <v>46233</v>
      </c>
      <c r="S257">
        <v>50</v>
      </c>
      <c r="V257">
        <v>3261000</v>
      </c>
      <c r="X257">
        <v>5435000</v>
      </c>
      <c r="AH257">
        <v>8696000</v>
      </c>
    </row>
    <row r="258" spans="1:34" hidden="1" x14ac:dyDescent="0.45">
      <c r="A258">
        <v>13455</v>
      </c>
      <c r="B258" t="s">
        <v>454</v>
      </c>
      <c r="C258" t="s">
        <v>36</v>
      </c>
      <c r="D258" t="s">
        <v>37</v>
      </c>
      <c r="E258" t="s">
        <v>38</v>
      </c>
      <c r="F258" t="s">
        <v>509</v>
      </c>
      <c r="G258">
        <v>1</v>
      </c>
      <c r="H258" t="s">
        <v>510</v>
      </c>
      <c r="I258" t="s">
        <v>476</v>
      </c>
      <c r="J258" t="s">
        <v>1132</v>
      </c>
      <c r="K258" t="s">
        <v>42</v>
      </c>
      <c r="L258" t="s">
        <v>508</v>
      </c>
      <c r="M258" s="2">
        <v>50000000</v>
      </c>
      <c r="N258" s="2">
        <v>17392000</v>
      </c>
      <c r="O258" s="2">
        <v>25000000</v>
      </c>
      <c r="P258" s="2">
        <v>8696000</v>
      </c>
      <c r="Q258" s="1">
        <v>46286</v>
      </c>
      <c r="R258" s="1">
        <v>46316</v>
      </c>
      <c r="S258">
        <v>50</v>
      </c>
      <c r="V258">
        <v>3261000</v>
      </c>
      <c r="X258">
        <v>5435000</v>
      </c>
      <c r="AH258">
        <v>8696000</v>
      </c>
    </row>
    <row r="259" spans="1:34" hidden="1" x14ac:dyDescent="0.45">
      <c r="A259">
        <v>13457</v>
      </c>
      <c r="B259" t="s">
        <v>515</v>
      </c>
      <c r="C259" t="s">
        <v>36</v>
      </c>
      <c r="D259" t="s">
        <v>37</v>
      </c>
      <c r="E259" t="s">
        <v>38</v>
      </c>
      <c r="F259" t="s">
        <v>530</v>
      </c>
      <c r="G259">
        <v>2</v>
      </c>
      <c r="H259" t="s">
        <v>531</v>
      </c>
      <c r="I259" t="s">
        <v>423</v>
      </c>
      <c r="J259" t="s">
        <v>1133</v>
      </c>
      <c r="K259" t="s">
        <v>66</v>
      </c>
      <c r="L259" t="s">
        <v>532</v>
      </c>
      <c r="M259" s="2">
        <v>560000000</v>
      </c>
      <c r="N259" s="2">
        <v>32665500</v>
      </c>
      <c r="O259" s="2">
        <v>392000000</v>
      </c>
      <c r="P259" s="2">
        <v>22865850</v>
      </c>
      <c r="Q259" s="1">
        <v>46356</v>
      </c>
      <c r="R259" s="1">
        <v>46387</v>
      </c>
      <c r="S259">
        <v>70</v>
      </c>
      <c r="V259">
        <v>6533100</v>
      </c>
      <c r="X259">
        <v>16332750</v>
      </c>
      <c r="AH259">
        <v>22865850</v>
      </c>
    </row>
    <row r="260" spans="1:34" hidden="1" x14ac:dyDescent="0.45">
      <c r="A260">
        <v>13458</v>
      </c>
      <c r="B260" t="s">
        <v>515</v>
      </c>
      <c r="C260" t="s">
        <v>36</v>
      </c>
      <c r="D260" t="s">
        <v>37</v>
      </c>
      <c r="E260" t="s">
        <v>38</v>
      </c>
      <c r="F260" t="s">
        <v>530</v>
      </c>
      <c r="G260">
        <v>2</v>
      </c>
      <c r="H260" t="s">
        <v>531</v>
      </c>
      <c r="I260" t="s">
        <v>423</v>
      </c>
      <c r="J260" t="s">
        <v>1133</v>
      </c>
      <c r="K260" t="s">
        <v>66</v>
      </c>
      <c r="L260" t="s">
        <v>533</v>
      </c>
      <c r="M260" s="2">
        <v>25000000</v>
      </c>
      <c r="N260" s="2">
        <v>1494500</v>
      </c>
      <c r="O260" s="2">
        <v>17500000</v>
      </c>
      <c r="P260" s="2">
        <v>1046150</v>
      </c>
      <c r="Q260" s="1">
        <v>46356</v>
      </c>
      <c r="R260" s="1">
        <v>46752</v>
      </c>
      <c r="S260">
        <v>70</v>
      </c>
      <c r="V260">
        <v>298900</v>
      </c>
      <c r="X260">
        <v>747250</v>
      </c>
      <c r="AH260">
        <v>1046150</v>
      </c>
    </row>
    <row r="261" spans="1:34" hidden="1" x14ac:dyDescent="0.45">
      <c r="A261">
        <v>13462</v>
      </c>
      <c r="B261" t="s">
        <v>448</v>
      </c>
      <c r="C261" t="s">
        <v>36</v>
      </c>
      <c r="D261" t="s">
        <v>37</v>
      </c>
      <c r="E261" t="s">
        <v>38</v>
      </c>
      <c r="F261" t="s">
        <v>534</v>
      </c>
      <c r="G261">
        <v>2</v>
      </c>
      <c r="H261" t="s">
        <v>535</v>
      </c>
      <c r="I261" t="s">
        <v>536</v>
      </c>
      <c r="J261" t="s">
        <v>1133</v>
      </c>
      <c r="K261" t="s">
        <v>66</v>
      </c>
      <c r="L261" t="s">
        <v>537</v>
      </c>
      <c r="M261" s="2">
        <v>134257500</v>
      </c>
      <c r="N261" s="2">
        <v>134257500</v>
      </c>
      <c r="O261" s="2">
        <v>67128750</v>
      </c>
      <c r="P261" s="2">
        <v>67128750</v>
      </c>
      <c r="Q261" s="1">
        <v>46173</v>
      </c>
      <c r="R261" s="1">
        <v>46172</v>
      </c>
      <c r="S261">
        <v>50</v>
      </c>
      <c r="X261">
        <v>67128750</v>
      </c>
      <c r="AH261">
        <v>67128750</v>
      </c>
    </row>
    <row r="262" spans="1:34" hidden="1" x14ac:dyDescent="0.45">
      <c r="A262">
        <v>13463</v>
      </c>
      <c r="B262" t="s">
        <v>448</v>
      </c>
      <c r="C262" t="s">
        <v>36</v>
      </c>
      <c r="D262" t="s">
        <v>37</v>
      </c>
      <c r="E262" t="s">
        <v>38</v>
      </c>
      <c r="F262" t="s">
        <v>534</v>
      </c>
      <c r="G262">
        <v>2</v>
      </c>
      <c r="H262" t="s">
        <v>535</v>
      </c>
      <c r="I262" t="s">
        <v>536</v>
      </c>
      <c r="J262" t="s">
        <v>1133</v>
      </c>
      <c r="K262" t="s">
        <v>66</v>
      </c>
      <c r="L262" t="s">
        <v>538</v>
      </c>
      <c r="M262" s="2">
        <v>89505000</v>
      </c>
      <c r="N262" s="2">
        <v>89505000</v>
      </c>
      <c r="O262" s="2">
        <v>44752500</v>
      </c>
      <c r="P262" s="2">
        <v>44752500</v>
      </c>
      <c r="Q262" s="1">
        <v>46173</v>
      </c>
      <c r="R262" s="1">
        <v>46203</v>
      </c>
      <c r="S262">
        <v>50</v>
      </c>
      <c r="X262">
        <v>44752500</v>
      </c>
      <c r="AH262">
        <v>44752500</v>
      </c>
    </row>
    <row r="263" spans="1:34" hidden="1" x14ac:dyDescent="0.45">
      <c r="A263">
        <v>13464</v>
      </c>
      <c r="B263" t="s">
        <v>311</v>
      </c>
      <c r="C263" t="s">
        <v>36</v>
      </c>
      <c r="D263" t="s">
        <v>37</v>
      </c>
      <c r="E263" t="s">
        <v>38</v>
      </c>
      <c r="F263" t="s">
        <v>539</v>
      </c>
      <c r="G263">
        <v>3</v>
      </c>
      <c r="H263" t="s">
        <v>540</v>
      </c>
      <c r="I263" t="s">
        <v>486</v>
      </c>
      <c r="J263" t="s">
        <v>1133</v>
      </c>
      <c r="K263" t="s">
        <v>146</v>
      </c>
      <c r="L263" t="s">
        <v>487</v>
      </c>
      <c r="M263" s="2">
        <v>225000000</v>
      </c>
      <c r="N263" s="2">
        <v>95000000</v>
      </c>
      <c r="O263" s="2">
        <v>157500000</v>
      </c>
      <c r="P263" s="2">
        <v>66500000</v>
      </c>
      <c r="Q263" s="1">
        <v>46192</v>
      </c>
      <c r="R263" s="1">
        <v>46220</v>
      </c>
      <c r="S263">
        <v>70</v>
      </c>
      <c r="V263">
        <v>21000000</v>
      </c>
      <c r="X263">
        <v>45500000</v>
      </c>
      <c r="AH263">
        <v>66500000</v>
      </c>
    </row>
    <row r="264" spans="1:34" hidden="1" x14ac:dyDescent="0.45">
      <c r="A264">
        <v>13467</v>
      </c>
      <c r="B264" t="s">
        <v>454</v>
      </c>
      <c r="C264" t="s">
        <v>36</v>
      </c>
      <c r="D264" t="s">
        <v>37</v>
      </c>
      <c r="E264" t="s">
        <v>38</v>
      </c>
      <c r="F264" t="s">
        <v>541</v>
      </c>
      <c r="G264">
        <v>1</v>
      </c>
      <c r="H264" t="s">
        <v>542</v>
      </c>
      <c r="I264" t="s">
        <v>503</v>
      </c>
      <c r="J264" t="s">
        <v>1131</v>
      </c>
      <c r="K264" t="s">
        <v>42</v>
      </c>
      <c r="L264" t="s">
        <v>102</v>
      </c>
      <c r="M264" s="2">
        <v>2682000000</v>
      </c>
      <c r="N264" s="2">
        <v>151814340</v>
      </c>
      <c r="O264" s="2">
        <v>1341000000</v>
      </c>
      <c r="P264" s="2">
        <v>75907170</v>
      </c>
      <c r="Q264" s="1">
        <v>46311</v>
      </c>
      <c r="R264" s="1">
        <v>46343</v>
      </c>
      <c r="S264">
        <v>50</v>
      </c>
      <c r="V264">
        <v>75907170</v>
      </c>
      <c r="AH264">
        <v>75907170</v>
      </c>
    </row>
    <row r="265" spans="1:34" hidden="1" x14ac:dyDescent="0.45">
      <c r="A265">
        <v>13468</v>
      </c>
      <c r="B265" t="s">
        <v>311</v>
      </c>
      <c r="C265" t="s">
        <v>36</v>
      </c>
      <c r="D265" t="s">
        <v>37</v>
      </c>
      <c r="E265" t="s">
        <v>38</v>
      </c>
      <c r="F265" t="s">
        <v>543</v>
      </c>
      <c r="G265">
        <v>3</v>
      </c>
      <c r="H265" t="s">
        <v>544</v>
      </c>
      <c r="I265" t="s">
        <v>257</v>
      </c>
      <c r="J265" t="s">
        <v>1133</v>
      </c>
      <c r="K265" t="s">
        <v>146</v>
      </c>
      <c r="L265" t="s">
        <v>487</v>
      </c>
      <c r="M265" s="2">
        <v>752500000</v>
      </c>
      <c r="N265" s="2">
        <v>271500000</v>
      </c>
      <c r="O265" s="2">
        <v>526750000</v>
      </c>
      <c r="P265" s="2">
        <v>190050000</v>
      </c>
      <c r="Q265" s="1">
        <v>46290</v>
      </c>
      <c r="R265" s="1">
        <v>46318</v>
      </c>
      <c r="S265">
        <v>70</v>
      </c>
      <c r="V265">
        <v>75250000</v>
      </c>
      <c r="X265">
        <v>114800000</v>
      </c>
      <c r="AH265">
        <v>190050000</v>
      </c>
    </row>
    <row r="266" spans="1:34" hidden="1" x14ac:dyDescent="0.45">
      <c r="A266">
        <v>13469</v>
      </c>
      <c r="B266" t="s">
        <v>311</v>
      </c>
      <c r="C266" t="s">
        <v>36</v>
      </c>
      <c r="D266" t="s">
        <v>37</v>
      </c>
      <c r="E266" t="s">
        <v>38</v>
      </c>
      <c r="F266" t="s">
        <v>545</v>
      </c>
      <c r="G266">
        <v>5</v>
      </c>
      <c r="H266" t="s">
        <v>546</v>
      </c>
      <c r="I266" t="s">
        <v>547</v>
      </c>
      <c r="J266" t="s">
        <v>1133</v>
      </c>
      <c r="K266" t="s">
        <v>210</v>
      </c>
      <c r="L266" t="s">
        <v>487</v>
      </c>
      <c r="M266" s="2">
        <v>635000000</v>
      </c>
      <c r="N266" s="2">
        <v>72000000</v>
      </c>
      <c r="O266" s="2">
        <v>444500000</v>
      </c>
      <c r="P266" s="2">
        <v>50400000</v>
      </c>
      <c r="Q266" s="1">
        <v>46164</v>
      </c>
      <c r="R266" s="1">
        <v>46192</v>
      </c>
      <c r="S266">
        <v>70</v>
      </c>
      <c r="V266">
        <v>50400000</v>
      </c>
      <c r="AH266">
        <v>50400000</v>
      </c>
    </row>
    <row r="267" spans="1:34" hidden="1" x14ac:dyDescent="0.45">
      <c r="A267">
        <v>13478</v>
      </c>
      <c r="B267" t="s">
        <v>311</v>
      </c>
      <c r="C267" t="s">
        <v>36</v>
      </c>
      <c r="D267" t="s">
        <v>37</v>
      </c>
      <c r="E267" t="s">
        <v>38</v>
      </c>
      <c r="F267" t="s">
        <v>548</v>
      </c>
      <c r="G267">
        <v>3</v>
      </c>
      <c r="H267" t="s">
        <v>549</v>
      </c>
      <c r="I267" t="s">
        <v>486</v>
      </c>
      <c r="J267" t="s">
        <v>1133</v>
      </c>
      <c r="K267" t="s">
        <v>146</v>
      </c>
      <c r="L267" t="s">
        <v>487</v>
      </c>
      <c r="M267" s="2">
        <v>303000000</v>
      </c>
      <c r="N267" s="2">
        <v>80500000</v>
      </c>
      <c r="O267" s="2">
        <v>212100000</v>
      </c>
      <c r="P267" s="2">
        <v>56350000</v>
      </c>
      <c r="Q267" s="1">
        <v>46374</v>
      </c>
      <c r="R267" s="1">
        <v>46381</v>
      </c>
      <c r="S267">
        <v>70</v>
      </c>
      <c r="V267">
        <v>15750000</v>
      </c>
      <c r="X267">
        <v>40600000</v>
      </c>
      <c r="AH267">
        <v>56350000</v>
      </c>
    </row>
    <row r="268" spans="1:34" hidden="1" x14ac:dyDescent="0.45">
      <c r="A268">
        <v>13489</v>
      </c>
      <c r="B268" t="s">
        <v>515</v>
      </c>
      <c r="C268" t="s">
        <v>36</v>
      </c>
      <c r="D268" t="s">
        <v>37</v>
      </c>
      <c r="E268" t="s">
        <v>38</v>
      </c>
      <c r="F268" t="s">
        <v>550</v>
      </c>
      <c r="G268">
        <v>2</v>
      </c>
      <c r="H268" t="s">
        <v>551</v>
      </c>
      <c r="I268" t="s">
        <v>552</v>
      </c>
      <c r="J268" t="s">
        <v>1133</v>
      </c>
      <c r="K268" t="s">
        <v>66</v>
      </c>
      <c r="L268" t="s">
        <v>553</v>
      </c>
      <c r="M268" s="2">
        <v>190000000</v>
      </c>
      <c r="N268" s="2">
        <v>190000000</v>
      </c>
      <c r="O268" s="2">
        <v>57000000</v>
      </c>
      <c r="P268" s="2">
        <v>57000000</v>
      </c>
      <c r="Q268" s="1">
        <v>46173</v>
      </c>
      <c r="R268" s="1">
        <v>46387</v>
      </c>
      <c r="S268">
        <v>30</v>
      </c>
      <c r="X268">
        <v>57000000</v>
      </c>
      <c r="AH268">
        <v>57000000</v>
      </c>
    </row>
    <row r="269" spans="1:34" hidden="1" x14ac:dyDescent="0.45">
      <c r="A269">
        <v>13490</v>
      </c>
      <c r="B269" t="s">
        <v>515</v>
      </c>
      <c r="C269" t="s">
        <v>36</v>
      </c>
      <c r="D269" t="s">
        <v>37</v>
      </c>
      <c r="E269" t="s">
        <v>38</v>
      </c>
      <c r="F269" t="s">
        <v>550</v>
      </c>
      <c r="G269">
        <v>2</v>
      </c>
      <c r="H269" t="s">
        <v>551</v>
      </c>
      <c r="I269" t="s">
        <v>552</v>
      </c>
      <c r="J269" t="s">
        <v>1133</v>
      </c>
      <c r="K269" t="s">
        <v>66</v>
      </c>
      <c r="L269" t="s">
        <v>554</v>
      </c>
      <c r="M269" s="2">
        <v>190000000</v>
      </c>
      <c r="N269" s="2">
        <v>190000000</v>
      </c>
      <c r="O269" s="2">
        <v>57000000</v>
      </c>
      <c r="P269" s="2">
        <v>57000000</v>
      </c>
      <c r="Q269" s="1">
        <v>46173</v>
      </c>
      <c r="R269" s="1">
        <v>46752</v>
      </c>
      <c r="S269">
        <v>30</v>
      </c>
      <c r="X269">
        <v>57000000</v>
      </c>
      <c r="AH269">
        <v>57000000</v>
      </c>
    </row>
    <row r="270" spans="1:34" hidden="1" x14ac:dyDescent="0.45">
      <c r="A270">
        <v>13493</v>
      </c>
      <c r="B270" t="s">
        <v>448</v>
      </c>
      <c r="C270" t="s">
        <v>36</v>
      </c>
      <c r="D270" t="s">
        <v>37</v>
      </c>
      <c r="E270" t="s">
        <v>38</v>
      </c>
      <c r="F270" t="s">
        <v>555</v>
      </c>
      <c r="G270">
        <v>1</v>
      </c>
      <c r="H270" t="s">
        <v>556</v>
      </c>
      <c r="I270" t="s">
        <v>557</v>
      </c>
      <c r="J270" t="s">
        <v>1132</v>
      </c>
      <c r="K270" t="s">
        <v>42</v>
      </c>
      <c r="L270" t="s">
        <v>442</v>
      </c>
      <c r="M270" s="2">
        <v>50000000</v>
      </c>
      <c r="N270" s="2">
        <v>50000000</v>
      </c>
      <c r="O270" s="2">
        <v>25000000</v>
      </c>
      <c r="P270" s="2">
        <v>25000000</v>
      </c>
      <c r="Q270" s="1">
        <v>46234</v>
      </c>
      <c r="R270" s="1">
        <v>46234</v>
      </c>
      <c r="S270">
        <v>50</v>
      </c>
      <c r="X270">
        <v>25000000</v>
      </c>
      <c r="AH270">
        <v>25000000</v>
      </c>
    </row>
    <row r="271" spans="1:34" hidden="1" x14ac:dyDescent="0.45">
      <c r="A271">
        <v>13496</v>
      </c>
      <c r="B271" t="s">
        <v>448</v>
      </c>
      <c r="C271" t="s">
        <v>36</v>
      </c>
      <c r="D271" t="s">
        <v>37</v>
      </c>
      <c r="E271" t="s">
        <v>38</v>
      </c>
      <c r="F271" t="s">
        <v>558</v>
      </c>
      <c r="G271">
        <v>1</v>
      </c>
      <c r="H271" t="s">
        <v>556</v>
      </c>
      <c r="I271" t="s">
        <v>559</v>
      </c>
      <c r="J271" t="s">
        <v>1132</v>
      </c>
      <c r="K271" t="s">
        <v>42</v>
      </c>
      <c r="L271" t="s">
        <v>442</v>
      </c>
      <c r="M271" s="2">
        <v>100000000</v>
      </c>
      <c r="N271" s="2">
        <v>100000000</v>
      </c>
      <c r="O271" s="2">
        <v>50000000</v>
      </c>
      <c r="P271" s="2">
        <v>50000000</v>
      </c>
      <c r="Q271" s="1">
        <v>46265</v>
      </c>
      <c r="R271" s="1">
        <v>46265</v>
      </c>
      <c r="S271">
        <v>50</v>
      </c>
      <c r="X271">
        <v>50000000</v>
      </c>
      <c r="AH271">
        <v>50000000</v>
      </c>
    </row>
    <row r="272" spans="1:34" hidden="1" x14ac:dyDescent="0.45">
      <c r="A272">
        <v>13499</v>
      </c>
      <c r="B272" t="s">
        <v>448</v>
      </c>
      <c r="C272" t="s">
        <v>36</v>
      </c>
      <c r="D272" t="s">
        <v>37</v>
      </c>
      <c r="E272" t="s">
        <v>38</v>
      </c>
      <c r="F272" t="s">
        <v>560</v>
      </c>
      <c r="G272">
        <v>4</v>
      </c>
      <c r="H272" t="s">
        <v>561</v>
      </c>
      <c r="I272" t="s">
        <v>562</v>
      </c>
      <c r="J272" t="s">
        <v>1133</v>
      </c>
      <c r="K272" t="s">
        <v>51</v>
      </c>
      <c r="L272" t="s">
        <v>563</v>
      </c>
      <c r="M272" s="2">
        <v>63000000</v>
      </c>
      <c r="N272" s="2">
        <v>53000000</v>
      </c>
      <c r="O272" s="2">
        <v>31500000</v>
      </c>
      <c r="P272" s="2">
        <v>26500000</v>
      </c>
      <c r="Q272" s="1">
        <v>46142</v>
      </c>
      <c r="R272" s="1">
        <v>46203</v>
      </c>
      <c r="S272">
        <v>50</v>
      </c>
      <c r="Y272">
        <v>26500000</v>
      </c>
      <c r="AH272">
        <v>26500000</v>
      </c>
    </row>
    <row r="273" spans="1:34" hidden="1" x14ac:dyDescent="0.45">
      <c r="A273">
        <v>13502</v>
      </c>
      <c r="B273" t="s">
        <v>448</v>
      </c>
      <c r="C273" t="s">
        <v>36</v>
      </c>
      <c r="D273" t="s">
        <v>37</v>
      </c>
      <c r="E273" t="s">
        <v>38</v>
      </c>
      <c r="F273" t="s">
        <v>564</v>
      </c>
      <c r="G273">
        <v>1</v>
      </c>
      <c r="H273" t="s">
        <v>565</v>
      </c>
      <c r="I273" t="s">
        <v>473</v>
      </c>
      <c r="J273" t="s">
        <v>1132</v>
      </c>
      <c r="K273" t="s">
        <v>42</v>
      </c>
      <c r="L273" t="s">
        <v>442</v>
      </c>
      <c r="M273" s="2">
        <v>80000000</v>
      </c>
      <c r="N273" s="2">
        <v>80000000</v>
      </c>
      <c r="O273" s="2">
        <v>40000000</v>
      </c>
      <c r="P273" s="2">
        <v>40000000</v>
      </c>
      <c r="Q273" s="1">
        <v>46326</v>
      </c>
      <c r="R273" s="1">
        <v>46326</v>
      </c>
      <c r="S273">
        <v>50</v>
      </c>
      <c r="X273">
        <v>40000000</v>
      </c>
      <c r="AH273">
        <v>40000000</v>
      </c>
    </row>
    <row r="274" spans="1:34" hidden="1" x14ac:dyDescent="0.45">
      <c r="A274">
        <v>13506</v>
      </c>
      <c r="B274" t="s">
        <v>448</v>
      </c>
      <c r="C274" t="s">
        <v>36</v>
      </c>
      <c r="D274" t="s">
        <v>37</v>
      </c>
      <c r="E274" t="s">
        <v>38</v>
      </c>
      <c r="F274" t="s">
        <v>566</v>
      </c>
      <c r="G274">
        <v>2</v>
      </c>
      <c r="H274" t="s">
        <v>556</v>
      </c>
      <c r="I274" t="s">
        <v>482</v>
      </c>
      <c r="J274" t="s">
        <v>1133</v>
      </c>
      <c r="K274" t="s">
        <v>66</v>
      </c>
      <c r="L274" t="s">
        <v>567</v>
      </c>
      <c r="M274" s="2">
        <v>35700000</v>
      </c>
      <c r="N274" s="2">
        <v>35700000</v>
      </c>
      <c r="O274" s="2">
        <v>17850000</v>
      </c>
      <c r="P274" s="2">
        <v>17850000</v>
      </c>
      <c r="Q274" s="1">
        <v>46234</v>
      </c>
      <c r="R274" s="1">
        <v>46234</v>
      </c>
      <c r="S274">
        <v>50</v>
      </c>
      <c r="X274">
        <v>17850000</v>
      </c>
      <c r="AH274">
        <v>17850000</v>
      </c>
    </row>
    <row r="275" spans="1:34" hidden="1" x14ac:dyDescent="0.45">
      <c r="A275">
        <v>13507</v>
      </c>
      <c r="B275" t="s">
        <v>448</v>
      </c>
      <c r="C275" t="s">
        <v>36</v>
      </c>
      <c r="D275" t="s">
        <v>37</v>
      </c>
      <c r="E275" t="s">
        <v>38</v>
      </c>
      <c r="F275" t="s">
        <v>566</v>
      </c>
      <c r="G275">
        <v>2</v>
      </c>
      <c r="H275" t="s">
        <v>556</v>
      </c>
      <c r="I275" t="s">
        <v>482</v>
      </c>
      <c r="J275" t="s">
        <v>1133</v>
      </c>
      <c r="K275" t="s">
        <v>66</v>
      </c>
      <c r="L275" t="s">
        <v>568</v>
      </c>
      <c r="M275" s="2">
        <v>83300000</v>
      </c>
      <c r="N275" s="2">
        <v>83300000</v>
      </c>
      <c r="O275" s="2">
        <v>41650000</v>
      </c>
      <c r="P275" s="2">
        <v>41650000</v>
      </c>
      <c r="Q275" s="1">
        <v>46234</v>
      </c>
      <c r="R275" s="1">
        <v>46326</v>
      </c>
      <c r="S275">
        <v>50</v>
      </c>
      <c r="X275">
        <v>41650000</v>
      </c>
      <c r="AH275">
        <v>41650000</v>
      </c>
    </row>
    <row r="276" spans="1:34" hidden="1" x14ac:dyDescent="0.45">
      <c r="A276">
        <v>13508</v>
      </c>
      <c r="B276" t="s">
        <v>515</v>
      </c>
      <c r="C276" t="s">
        <v>36</v>
      </c>
      <c r="D276" t="s">
        <v>37</v>
      </c>
      <c r="E276" t="s">
        <v>38</v>
      </c>
      <c r="F276" t="s">
        <v>569</v>
      </c>
      <c r="G276">
        <v>1</v>
      </c>
      <c r="H276" t="s">
        <v>570</v>
      </c>
      <c r="I276" t="s">
        <v>423</v>
      </c>
      <c r="J276" t="s">
        <v>1133</v>
      </c>
      <c r="K276" t="s">
        <v>42</v>
      </c>
      <c r="L276" t="s">
        <v>571</v>
      </c>
      <c r="M276" s="2">
        <v>23000000</v>
      </c>
      <c r="N276" s="2">
        <v>15000000</v>
      </c>
      <c r="O276" s="2">
        <v>11500000</v>
      </c>
      <c r="P276" s="2">
        <v>7500000</v>
      </c>
      <c r="Q276" s="1">
        <v>46356</v>
      </c>
      <c r="R276" s="1">
        <v>46356</v>
      </c>
      <c r="S276">
        <v>50</v>
      </c>
      <c r="U276">
        <v>500000</v>
      </c>
      <c r="X276">
        <v>7000000</v>
      </c>
      <c r="AH276">
        <v>7500000</v>
      </c>
    </row>
    <row r="277" spans="1:34" hidden="1" x14ac:dyDescent="0.45">
      <c r="A277">
        <v>13509</v>
      </c>
      <c r="B277" t="s">
        <v>515</v>
      </c>
      <c r="C277" t="s">
        <v>36</v>
      </c>
      <c r="D277" t="s">
        <v>37</v>
      </c>
      <c r="E277" t="s">
        <v>38</v>
      </c>
      <c r="F277" t="s">
        <v>569</v>
      </c>
      <c r="G277">
        <v>1</v>
      </c>
      <c r="H277" t="s">
        <v>570</v>
      </c>
      <c r="I277" t="s">
        <v>423</v>
      </c>
      <c r="J277" t="s">
        <v>1133</v>
      </c>
      <c r="K277" t="s">
        <v>42</v>
      </c>
      <c r="L277" t="s">
        <v>572</v>
      </c>
      <c r="M277" s="2">
        <v>34500000</v>
      </c>
      <c r="N277" s="2">
        <v>22500000</v>
      </c>
      <c r="O277" s="2">
        <v>17250000</v>
      </c>
      <c r="P277" s="2">
        <v>11250000</v>
      </c>
      <c r="Q277" s="1">
        <v>46356</v>
      </c>
      <c r="R277" s="1">
        <v>46387</v>
      </c>
      <c r="S277">
        <v>50</v>
      </c>
      <c r="U277">
        <v>750000</v>
      </c>
      <c r="X277">
        <v>10500000</v>
      </c>
      <c r="AH277">
        <v>11250000</v>
      </c>
    </row>
    <row r="278" spans="1:34" hidden="1" x14ac:dyDescent="0.45">
      <c r="A278">
        <v>13510</v>
      </c>
      <c r="B278" t="s">
        <v>515</v>
      </c>
      <c r="C278" t="s">
        <v>36</v>
      </c>
      <c r="D278" t="s">
        <v>37</v>
      </c>
      <c r="E278" t="s">
        <v>38</v>
      </c>
      <c r="F278" t="s">
        <v>569</v>
      </c>
      <c r="G278">
        <v>1</v>
      </c>
      <c r="H278" t="s">
        <v>570</v>
      </c>
      <c r="I278" t="s">
        <v>423</v>
      </c>
      <c r="J278" t="s">
        <v>1133</v>
      </c>
      <c r="K278" t="s">
        <v>42</v>
      </c>
      <c r="L278" t="s">
        <v>573</v>
      </c>
      <c r="M278" s="2">
        <v>57500000</v>
      </c>
      <c r="N278" s="2">
        <v>37500000</v>
      </c>
      <c r="O278" s="2">
        <v>28750000</v>
      </c>
      <c r="P278" s="2">
        <v>18750000</v>
      </c>
      <c r="Q278" s="1">
        <v>46356</v>
      </c>
      <c r="R278" s="1">
        <v>46418</v>
      </c>
      <c r="S278">
        <v>50</v>
      </c>
      <c r="U278">
        <v>1250000</v>
      </c>
      <c r="X278">
        <v>17500000</v>
      </c>
      <c r="AH278">
        <v>18750000</v>
      </c>
    </row>
    <row r="279" spans="1:34" hidden="1" x14ac:dyDescent="0.45">
      <c r="A279">
        <v>13511</v>
      </c>
      <c r="B279" t="s">
        <v>574</v>
      </c>
      <c r="C279" t="s">
        <v>36</v>
      </c>
      <c r="D279" t="s">
        <v>37</v>
      </c>
      <c r="E279" t="s">
        <v>38</v>
      </c>
      <c r="F279" t="s">
        <v>575</v>
      </c>
      <c r="G279">
        <v>1</v>
      </c>
      <c r="H279" t="s">
        <v>576</v>
      </c>
      <c r="I279" t="s">
        <v>41</v>
      </c>
      <c r="J279" t="s">
        <v>1131</v>
      </c>
      <c r="K279" t="s">
        <v>42</v>
      </c>
      <c r="L279" t="s">
        <v>442</v>
      </c>
      <c r="M279" s="2">
        <v>0</v>
      </c>
      <c r="N279" s="2">
        <v>150000000</v>
      </c>
      <c r="O279" s="2">
        <v>0</v>
      </c>
      <c r="P279" s="2">
        <v>60000000</v>
      </c>
      <c r="Q279" s="1">
        <v>46295</v>
      </c>
      <c r="R279" s="1">
        <v>46387</v>
      </c>
      <c r="S279">
        <v>40</v>
      </c>
      <c r="X279">
        <v>60000000</v>
      </c>
      <c r="AH279">
        <v>60000000</v>
      </c>
    </row>
    <row r="280" spans="1:34" hidden="1" x14ac:dyDescent="0.45">
      <c r="A280">
        <v>13514</v>
      </c>
      <c r="B280" t="s">
        <v>448</v>
      </c>
      <c r="C280" t="s">
        <v>36</v>
      </c>
      <c r="D280" t="s">
        <v>37</v>
      </c>
      <c r="E280" t="s">
        <v>38</v>
      </c>
      <c r="F280" t="s">
        <v>577</v>
      </c>
      <c r="G280">
        <v>1</v>
      </c>
      <c r="H280" t="s">
        <v>578</v>
      </c>
      <c r="I280" t="s">
        <v>579</v>
      </c>
      <c r="J280" t="s">
        <v>1132</v>
      </c>
      <c r="K280" t="s">
        <v>42</v>
      </c>
      <c r="L280" t="s">
        <v>43</v>
      </c>
      <c r="M280" s="2">
        <v>60000000</v>
      </c>
      <c r="N280" s="2">
        <v>60000000</v>
      </c>
      <c r="O280" s="2">
        <v>30000000</v>
      </c>
      <c r="P280" s="2">
        <v>30000000</v>
      </c>
      <c r="Q280" s="1">
        <v>46326</v>
      </c>
      <c r="R280" s="1">
        <v>46356</v>
      </c>
      <c r="S280">
        <v>50</v>
      </c>
      <c r="X280">
        <v>30000000</v>
      </c>
      <c r="AH280">
        <v>30000000</v>
      </c>
    </row>
    <row r="281" spans="1:34" hidden="1" x14ac:dyDescent="0.45">
      <c r="A281">
        <v>13515</v>
      </c>
      <c r="B281" t="s">
        <v>448</v>
      </c>
      <c r="C281" t="s">
        <v>36</v>
      </c>
      <c r="D281" t="s">
        <v>37</v>
      </c>
      <c r="E281" t="s">
        <v>38</v>
      </c>
      <c r="F281" t="s">
        <v>577</v>
      </c>
      <c r="G281">
        <v>1</v>
      </c>
      <c r="H281" t="s">
        <v>578</v>
      </c>
      <c r="I281" t="s">
        <v>579</v>
      </c>
      <c r="J281" t="s">
        <v>1132</v>
      </c>
      <c r="K281" t="s">
        <v>42</v>
      </c>
      <c r="L281" t="s">
        <v>44</v>
      </c>
      <c r="M281" s="2">
        <v>60000000</v>
      </c>
      <c r="N281" s="2">
        <v>60000000</v>
      </c>
      <c r="O281" s="2">
        <v>30000000</v>
      </c>
      <c r="P281" s="2">
        <v>30000000</v>
      </c>
      <c r="Q281" s="1">
        <v>46326</v>
      </c>
      <c r="R281" s="1">
        <v>46387</v>
      </c>
      <c r="S281">
        <v>50</v>
      </c>
      <c r="X281">
        <v>30000000</v>
      </c>
      <c r="AH281">
        <v>30000000</v>
      </c>
    </row>
    <row r="282" spans="1:34" hidden="1" x14ac:dyDescent="0.45">
      <c r="A282">
        <v>13516</v>
      </c>
      <c r="B282" t="s">
        <v>448</v>
      </c>
      <c r="C282" t="s">
        <v>36</v>
      </c>
      <c r="D282" t="s">
        <v>37</v>
      </c>
      <c r="E282" t="s">
        <v>38</v>
      </c>
      <c r="F282" t="s">
        <v>580</v>
      </c>
      <c r="G282">
        <v>1</v>
      </c>
      <c r="H282" t="s">
        <v>581</v>
      </c>
      <c r="I282" t="s">
        <v>579</v>
      </c>
      <c r="J282" t="s">
        <v>1132</v>
      </c>
      <c r="K282" t="s">
        <v>42</v>
      </c>
      <c r="L282" t="s">
        <v>442</v>
      </c>
      <c r="M282" s="2">
        <v>50000000</v>
      </c>
      <c r="N282" s="2">
        <v>50000000</v>
      </c>
      <c r="O282" s="2">
        <v>25000000</v>
      </c>
      <c r="P282" s="2">
        <v>25000000</v>
      </c>
      <c r="Q282" s="1">
        <v>46295</v>
      </c>
      <c r="R282" s="1">
        <v>46326</v>
      </c>
      <c r="S282">
        <v>50</v>
      </c>
      <c r="X282">
        <v>25000000</v>
      </c>
      <c r="AH282">
        <v>25000000</v>
      </c>
    </row>
    <row r="283" spans="1:34" hidden="1" x14ac:dyDescent="0.45">
      <c r="A283">
        <v>13535</v>
      </c>
      <c r="B283" t="s">
        <v>526</v>
      </c>
      <c r="C283" t="s">
        <v>36</v>
      </c>
      <c r="D283" t="s">
        <v>37</v>
      </c>
      <c r="E283" t="s">
        <v>38</v>
      </c>
      <c r="F283" t="s">
        <v>582</v>
      </c>
      <c r="G283">
        <v>1</v>
      </c>
      <c r="H283" t="s">
        <v>583</v>
      </c>
      <c r="I283" t="s">
        <v>124</v>
      </c>
      <c r="J283" t="s">
        <v>1132</v>
      </c>
      <c r="K283" t="s">
        <v>42</v>
      </c>
      <c r="L283" t="s">
        <v>584</v>
      </c>
      <c r="M283" s="2">
        <v>30000000</v>
      </c>
      <c r="N283" s="2">
        <v>30000000</v>
      </c>
      <c r="O283" s="2">
        <v>9000000</v>
      </c>
      <c r="P283" s="2">
        <v>9000000</v>
      </c>
      <c r="Q283" s="1">
        <v>46290</v>
      </c>
      <c r="R283" s="1">
        <v>46307</v>
      </c>
      <c r="S283">
        <v>30</v>
      </c>
      <c r="X283">
        <v>9000000</v>
      </c>
      <c r="AH283">
        <v>9000000</v>
      </c>
    </row>
    <row r="284" spans="1:34" hidden="1" x14ac:dyDescent="0.45">
      <c r="A284">
        <v>13536</v>
      </c>
      <c r="B284" t="s">
        <v>526</v>
      </c>
      <c r="C284" t="s">
        <v>36</v>
      </c>
      <c r="D284" t="s">
        <v>37</v>
      </c>
      <c r="E284" t="s">
        <v>38</v>
      </c>
      <c r="F284" t="s">
        <v>582</v>
      </c>
      <c r="G284">
        <v>1</v>
      </c>
      <c r="H284" t="s">
        <v>583</v>
      </c>
      <c r="I284" t="s">
        <v>124</v>
      </c>
      <c r="J284" t="s">
        <v>1132</v>
      </c>
      <c r="K284" t="s">
        <v>42</v>
      </c>
      <c r="L284" t="s">
        <v>44</v>
      </c>
      <c r="M284" s="2">
        <v>30000000</v>
      </c>
      <c r="N284" s="2">
        <v>30000000</v>
      </c>
      <c r="O284" s="2">
        <v>9000000</v>
      </c>
      <c r="P284" s="2">
        <v>9000000</v>
      </c>
      <c r="Q284" s="1">
        <v>46290</v>
      </c>
      <c r="R284" s="1">
        <v>46386</v>
      </c>
      <c r="S284">
        <v>30</v>
      </c>
      <c r="X284">
        <v>9000000</v>
      </c>
      <c r="AH284">
        <v>9000000</v>
      </c>
    </row>
    <row r="285" spans="1:34" hidden="1" x14ac:dyDescent="0.45">
      <c r="A285">
        <v>13537</v>
      </c>
      <c r="B285" t="s">
        <v>526</v>
      </c>
      <c r="C285" t="s">
        <v>36</v>
      </c>
      <c r="D285" t="s">
        <v>37</v>
      </c>
      <c r="E285" t="s">
        <v>38</v>
      </c>
      <c r="F285" t="s">
        <v>585</v>
      </c>
      <c r="G285">
        <v>2</v>
      </c>
      <c r="H285" t="s">
        <v>586</v>
      </c>
      <c r="I285" t="s">
        <v>529</v>
      </c>
      <c r="J285" t="s">
        <v>1133</v>
      </c>
      <c r="K285" t="s">
        <v>66</v>
      </c>
      <c r="L285" t="s">
        <v>442</v>
      </c>
      <c r="M285" s="2">
        <v>70000000</v>
      </c>
      <c r="N285" s="2">
        <v>20000000</v>
      </c>
      <c r="O285" s="2">
        <v>21000000</v>
      </c>
      <c r="P285" s="2">
        <v>6000000</v>
      </c>
      <c r="Q285" s="1">
        <v>46203</v>
      </c>
      <c r="R285" s="1">
        <v>46234</v>
      </c>
      <c r="S285">
        <v>30</v>
      </c>
      <c r="V285">
        <v>6000000</v>
      </c>
      <c r="AH285">
        <v>6000000</v>
      </c>
    </row>
    <row r="286" spans="1:34" hidden="1" x14ac:dyDescent="0.45">
      <c r="A286">
        <v>13540</v>
      </c>
      <c r="B286" t="s">
        <v>526</v>
      </c>
      <c r="C286" t="s">
        <v>36</v>
      </c>
      <c r="D286" t="s">
        <v>37</v>
      </c>
      <c r="E286" t="s">
        <v>38</v>
      </c>
      <c r="F286" t="s">
        <v>587</v>
      </c>
      <c r="G286">
        <v>1</v>
      </c>
      <c r="H286" t="s">
        <v>588</v>
      </c>
      <c r="I286" t="s">
        <v>589</v>
      </c>
      <c r="J286" t="s">
        <v>1133</v>
      </c>
      <c r="K286" t="s">
        <v>42</v>
      </c>
      <c r="L286" t="s">
        <v>584</v>
      </c>
      <c r="M286" s="2">
        <v>50000000</v>
      </c>
      <c r="N286" s="2">
        <v>50000000</v>
      </c>
      <c r="O286" s="2">
        <v>15000000</v>
      </c>
      <c r="P286" s="2">
        <v>15000000</v>
      </c>
      <c r="Q286" s="1">
        <v>46300</v>
      </c>
      <c r="R286" s="1">
        <v>46321</v>
      </c>
      <c r="S286">
        <v>30</v>
      </c>
      <c r="X286">
        <v>15000000</v>
      </c>
      <c r="AH286">
        <v>15000000</v>
      </c>
    </row>
    <row r="287" spans="1:34" hidden="1" x14ac:dyDescent="0.45">
      <c r="A287">
        <v>13541</v>
      </c>
      <c r="B287" t="s">
        <v>526</v>
      </c>
      <c r="C287" t="s">
        <v>36</v>
      </c>
      <c r="D287" t="s">
        <v>37</v>
      </c>
      <c r="E287" t="s">
        <v>38</v>
      </c>
      <c r="F287" t="s">
        <v>587</v>
      </c>
      <c r="G287">
        <v>1</v>
      </c>
      <c r="H287" t="s">
        <v>588</v>
      </c>
      <c r="I287" t="s">
        <v>589</v>
      </c>
      <c r="J287" t="s">
        <v>1133</v>
      </c>
      <c r="K287" t="s">
        <v>42</v>
      </c>
      <c r="L287" t="s">
        <v>44</v>
      </c>
      <c r="M287" s="2">
        <v>50000000</v>
      </c>
      <c r="N287" s="2">
        <v>50000000</v>
      </c>
      <c r="O287" s="2">
        <v>15000000</v>
      </c>
      <c r="P287" s="2">
        <v>15000000</v>
      </c>
      <c r="Q287" s="1">
        <v>46300</v>
      </c>
      <c r="R287" s="1">
        <v>46358</v>
      </c>
      <c r="S287">
        <v>30</v>
      </c>
      <c r="X287">
        <v>15000000</v>
      </c>
      <c r="AH287">
        <v>15000000</v>
      </c>
    </row>
    <row r="288" spans="1:34" hidden="1" x14ac:dyDescent="0.45">
      <c r="A288">
        <v>13542</v>
      </c>
      <c r="B288" t="s">
        <v>454</v>
      </c>
      <c r="C288" t="s">
        <v>36</v>
      </c>
      <c r="D288" t="s">
        <v>37</v>
      </c>
      <c r="E288" t="s">
        <v>38</v>
      </c>
      <c r="F288" t="s">
        <v>590</v>
      </c>
      <c r="G288">
        <v>2</v>
      </c>
      <c r="H288" t="s">
        <v>591</v>
      </c>
      <c r="I288" t="s">
        <v>498</v>
      </c>
      <c r="J288" t="s">
        <v>1133</v>
      </c>
      <c r="K288" t="s">
        <v>66</v>
      </c>
      <c r="L288" t="s">
        <v>220</v>
      </c>
      <c r="M288" s="2">
        <v>66250000</v>
      </c>
      <c r="N288" s="2">
        <v>66250000</v>
      </c>
      <c r="O288" s="2">
        <v>33125000</v>
      </c>
      <c r="P288" s="2">
        <v>33125000</v>
      </c>
      <c r="Q288" s="1">
        <v>46219</v>
      </c>
      <c r="R288" s="1">
        <v>46252</v>
      </c>
      <c r="S288">
        <v>50</v>
      </c>
      <c r="X288">
        <v>33125000</v>
      </c>
      <c r="AH288">
        <v>33125000</v>
      </c>
    </row>
    <row r="289" spans="1:34" hidden="1" x14ac:dyDescent="0.45">
      <c r="A289">
        <v>13543</v>
      </c>
      <c r="B289" t="s">
        <v>454</v>
      </c>
      <c r="C289" t="s">
        <v>36</v>
      </c>
      <c r="D289" t="s">
        <v>37</v>
      </c>
      <c r="E289" t="s">
        <v>38</v>
      </c>
      <c r="F289" t="s">
        <v>590</v>
      </c>
      <c r="G289">
        <v>2</v>
      </c>
      <c r="H289" t="s">
        <v>591</v>
      </c>
      <c r="I289" t="s">
        <v>498</v>
      </c>
      <c r="J289" t="s">
        <v>1133</v>
      </c>
      <c r="K289" t="s">
        <v>66</v>
      </c>
      <c r="L289" t="s">
        <v>221</v>
      </c>
      <c r="M289" s="2">
        <v>66250000</v>
      </c>
      <c r="N289" s="2">
        <v>66250000</v>
      </c>
      <c r="O289" s="2">
        <v>33125000</v>
      </c>
      <c r="P289" s="2">
        <v>33125000</v>
      </c>
      <c r="Q289" s="1">
        <v>46219</v>
      </c>
      <c r="R289" s="1">
        <v>46352</v>
      </c>
      <c r="S289">
        <v>50</v>
      </c>
      <c r="X289">
        <v>33125000</v>
      </c>
      <c r="AH289">
        <v>33125000</v>
      </c>
    </row>
    <row r="290" spans="1:34" hidden="1" x14ac:dyDescent="0.45">
      <c r="A290">
        <v>13547</v>
      </c>
      <c r="B290" t="s">
        <v>515</v>
      </c>
      <c r="C290" t="s">
        <v>36</v>
      </c>
      <c r="D290" t="s">
        <v>37</v>
      </c>
      <c r="E290" t="s">
        <v>38</v>
      </c>
      <c r="F290" t="s">
        <v>592</v>
      </c>
      <c r="G290">
        <v>1</v>
      </c>
      <c r="H290" t="s">
        <v>593</v>
      </c>
      <c r="I290" t="s">
        <v>594</v>
      </c>
      <c r="J290" t="s">
        <v>1133</v>
      </c>
      <c r="K290" t="s">
        <v>42</v>
      </c>
      <c r="L290" t="s">
        <v>595</v>
      </c>
      <c r="M290" s="2">
        <v>27500000</v>
      </c>
      <c r="N290" s="2">
        <v>16000000</v>
      </c>
      <c r="O290" s="2">
        <v>19250000</v>
      </c>
      <c r="P290" s="2">
        <v>11200000</v>
      </c>
      <c r="Q290" s="1">
        <v>46446</v>
      </c>
      <c r="R290" s="1">
        <v>46477</v>
      </c>
      <c r="S290">
        <v>70</v>
      </c>
      <c r="U290">
        <v>700000</v>
      </c>
      <c r="X290">
        <v>10500000</v>
      </c>
      <c r="AH290">
        <v>11200000</v>
      </c>
    </row>
    <row r="291" spans="1:34" hidden="1" x14ac:dyDescent="0.45">
      <c r="A291">
        <v>13548</v>
      </c>
      <c r="B291" t="s">
        <v>515</v>
      </c>
      <c r="C291" t="s">
        <v>36</v>
      </c>
      <c r="D291" t="s">
        <v>37</v>
      </c>
      <c r="E291" t="s">
        <v>38</v>
      </c>
      <c r="F291" t="s">
        <v>592</v>
      </c>
      <c r="G291">
        <v>1</v>
      </c>
      <c r="H291" t="s">
        <v>593</v>
      </c>
      <c r="I291" t="s">
        <v>594</v>
      </c>
      <c r="J291" t="s">
        <v>1133</v>
      </c>
      <c r="K291" t="s">
        <v>42</v>
      </c>
      <c r="L291" t="s">
        <v>596</v>
      </c>
      <c r="M291" s="2">
        <v>27500000</v>
      </c>
      <c r="N291" s="2">
        <v>16000000</v>
      </c>
      <c r="O291" s="2">
        <v>19250000</v>
      </c>
      <c r="P291" s="2">
        <v>11200000</v>
      </c>
      <c r="Q291" s="1">
        <v>46446</v>
      </c>
      <c r="R291" s="1">
        <v>46507</v>
      </c>
      <c r="S291">
        <v>70</v>
      </c>
      <c r="U291">
        <v>700000</v>
      </c>
      <c r="X291">
        <v>10500000</v>
      </c>
      <c r="AH291">
        <v>11200000</v>
      </c>
    </row>
    <row r="292" spans="1:34" hidden="1" x14ac:dyDescent="0.45">
      <c r="A292">
        <v>13549</v>
      </c>
      <c r="B292" t="s">
        <v>454</v>
      </c>
      <c r="C292" t="s">
        <v>36</v>
      </c>
      <c r="D292" t="s">
        <v>37</v>
      </c>
      <c r="E292" t="s">
        <v>38</v>
      </c>
      <c r="F292" t="s">
        <v>597</v>
      </c>
      <c r="G292">
        <v>4</v>
      </c>
      <c r="H292" t="s">
        <v>598</v>
      </c>
      <c r="I292" t="s">
        <v>457</v>
      </c>
      <c r="J292" t="s">
        <v>1132</v>
      </c>
      <c r="K292" t="s">
        <v>51</v>
      </c>
      <c r="L292" t="s">
        <v>599</v>
      </c>
      <c r="M292" s="2">
        <v>1040000000</v>
      </c>
      <c r="N292" s="2">
        <v>68671200</v>
      </c>
      <c r="O292" s="2">
        <v>520000000</v>
      </c>
      <c r="P292" s="2">
        <v>34335600</v>
      </c>
      <c r="Q292" s="1">
        <v>46241</v>
      </c>
      <c r="R292" s="1">
        <v>46255</v>
      </c>
      <c r="S292">
        <v>50</v>
      </c>
      <c r="U292">
        <v>12737400</v>
      </c>
      <c r="V292">
        <v>21598200</v>
      </c>
      <c r="AH292">
        <v>34335600</v>
      </c>
    </row>
    <row r="293" spans="1:34" hidden="1" x14ac:dyDescent="0.45">
      <c r="A293">
        <v>13553</v>
      </c>
      <c r="B293" t="s">
        <v>454</v>
      </c>
      <c r="C293" t="s">
        <v>36</v>
      </c>
      <c r="D293" t="s">
        <v>37</v>
      </c>
      <c r="E293" t="s">
        <v>38</v>
      </c>
      <c r="F293" t="s">
        <v>597</v>
      </c>
      <c r="G293">
        <v>4</v>
      </c>
      <c r="H293" t="s">
        <v>598</v>
      </c>
      <c r="I293" t="s">
        <v>457</v>
      </c>
      <c r="J293" t="s">
        <v>1132</v>
      </c>
      <c r="K293" t="s">
        <v>51</v>
      </c>
      <c r="L293" t="s">
        <v>600</v>
      </c>
      <c r="M293" s="2">
        <v>246800000</v>
      </c>
      <c r="N293" s="2">
        <v>16293600</v>
      </c>
      <c r="O293" s="2">
        <v>123400000</v>
      </c>
      <c r="P293" s="2">
        <v>8146800</v>
      </c>
      <c r="Q293" s="1">
        <v>46241</v>
      </c>
      <c r="R293" s="1">
        <v>46255</v>
      </c>
      <c r="S293">
        <v>50</v>
      </c>
      <c r="U293">
        <v>3022200</v>
      </c>
      <c r="V293">
        <v>5124600</v>
      </c>
      <c r="AH293">
        <v>8146800</v>
      </c>
    </row>
    <row r="294" spans="1:34" hidden="1" x14ac:dyDescent="0.45">
      <c r="A294">
        <v>13554</v>
      </c>
      <c r="B294" t="s">
        <v>454</v>
      </c>
      <c r="C294" t="s">
        <v>36</v>
      </c>
      <c r="D294" t="s">
        <v>37</v>
      </c>
      <c r="E294" t="s">
        <v>38</v>
      </c>
      <c r="F294" t="s">
        <v>597</v>
      </c>
      <c r="G294">
        <v>4</v>
      </c>
      <c r="H294" t="s">
        <v>598</v>
      </c>
      <c r="I294" t="s">
        <v>457</v>
      </c>
      <c r="J294" t="s">
        <v>1132</v>
      </c>
      <c r="K294" t="s">
        <v>51</v>
      </c>
      <c r="L294" t="s">
        <v>601</v>
      </c>
      <c r="M294" s="2">
        <v>185100000</v>
      </c>
      <c r="N294" s="2">
        <v>12201600</v>
      </c>
      <c r="O294" s="2">
        <v>92550000</v>
      </c>
      <c r="P294" s="2">
        <v>6100800</v>
      </c>
      <c r="Q294" s="1">
        <v>46241</v>
      </c>
      <c r="R294" s="1">
        <v>46372</v>
      </c>
      <c r="S294">
        <v>50</v>
      </c>
      <c r="U294">
        <v>2263200</v>
      </c>
      <c r="V294">
        <v>3837600</v>
      </c>
      <c r="AH294">
        <v>6100800</v>
      </c>
    </row>
    <row r="295" spans="1:34" hidden="1" x14ac:dyDescent="0.45">
      <c r="A295">
        <v>13555</v>
      </c>
      <c r="B295" t="s">
        <v>454</v>
      </c>
      <c r="C295" t="s">
        <v>36</v>
      </c>
      <c r="D295" t="s">
        <v>37</v>
      </c>
      <c r="E295" t="s">
        <v>38</v>
      </c>
      <c r="F295" t="s">
        <v>597</v>
      </c>
      <c r="G295">
        <v>4</v>
      </c>
      <c r="H295" t="s">
        <v>598</v>
      </c>
      <c r="I295" t="s">
        <v>457</v>
      </c>
      <c r="J295" t="s">
        <v>1132</v>
      </c>
      <c r="K295" t="s">
        <v>51</v>
      </c>
      <c r="L295" t="s">
        <v>602</v>
      </c>
      <c r="M295" s="2">
        <v>185100000</v>
      </c>
      <c r="N295" s="2">
        <v>12201600</v>
      </c>
      <c r="O295" s="2">
        <v>92550000</v>
      </c>
      <c r="P295" s="2">
        <v>6100800</v>
      </c>
      <c r="Q295" s="1">
        <v>46241</v>
      </c>
      <c r="R295" s="1">
        <v>46405</v>
      </c>
      <c r="S295">
        <v>50</v>
      </c>
      <c r="U295">
        <v>2263200</v>
      </c>
      <c r="V295">
        <v>3837600</v>
      </c>
      <c r="AH295">
        <v>6100800</v>
      </c>
    </row>
    <row r="296" spans="1:34" hidden="1" x14ac:dyDescent="0.45">
      <c r="A296">
        <v>13560</v>
      </c>
      <c r="B296" t="s">
        <v>448</v>
      </c>
      <c r="C296" t="s">
        <v>36</v>
      </c>
      <c r="D296" t="s">
        <v>37</v>
      </c>
      <c r="E296" t="s">
        <v>38</v>
      </c>
      <c r="F296" t="s">
        <v>493</v>
      </c>
      <c r="G296">
        <v>2</v>
      </c>
      <c r="H296" t="s">
        <v>494</v>
      </c>
      <c r="I296" t="s">
        <v>473</v>
      </c>
      <c r="J296" t="s">
        <v>1132</v>
      </c>
      <c r="K296" t="s">
        <v>66</v>
      </c>
      <c r="L296" t="s">
        <v>492</v>
      </c>
      <c r="M296" s="2">
        <v>6800000</v>
      </c>
      <c r="N296" s="2">
        <v>2039184</v>
      </c>
      <c r="O296" s="2">
        <v>3400000</v>
      </c>
      <c r="P296" s="2">
        <v>1019592</v>
      </c>
      <c r="Q296" s="1">
        <v>46234</v>
      </c>
      <c r="R296" s="1">
        <v>46265</v>
      </c>
      <c r="S296">
        <v>50</v>
      </c>
      <c r="V296">
        <v>1019592</v>
      </c>
      <c r="AH296">
        <v>1019592</v>
      </c>
    </row>
    <row r="297" spans="1:34" hidden="1" x14ac:dyDescent="0.45">
      <c r="A297">
        <v>13561</v>
      </c>
      <c r="B297" t="s">
        <v>448</v>
      </c>
      <c r="C297" t="s">
        <v>36</v>
      </c>
      <c r="D297" t="s">
        <v>37</v>
      </c>
      <c r="E297" t="s">
        <v>38</v>
      </c>
      <c r="F297" t="s">
        <v>493</v>
      </c>
      <c r="G297">
        <v>2</v>
      </c>
      <c r="H297" t="s">
        <v>494</v>
      </c>
      <c r="I297" t="s">
        <v>473</v>
      </c>
      <c r="J297" t="s">
        <v>1132</v>
      </c>
      <c r="K297" t="s">
        <v>66</v>
      </c>
      <c r="L297" t="s">
        <v>603</v>
      </c>
      <c r="M297" s="2">
        <v>6800000</v>
      </c>
      <c r="N297" s="2">
        <v>2039184</v>
      </c>
      <c r="O297" s="2">
        <v>3400000</v>
      </c>
      <c r="P297" s="2">
        <v>1019592</v>
      </c>
      <c r="Q297" s="1">
        <v>46234</v>
      </c>
      <c r="R297" s="1">
        <v>46295</v>
      </c>
      <c r="S297">
        <v>50</v>
      </c>
      <c r="V297">
        <v>1019592</v>
      </c>
      <c r="AH297">
        <v>1019592</v>
      </c>
    </row>
    <row r="298" spans="1:34" hidden="1" x14ac:dyDescent="0.45">
      <c r="A298">
        <v>13562</v>
      </c>
      <c r="B298" t="s">
        <v>448</v>
      </c>
      <c r="C298" t="s">
        <v>36</v>
      </c>
      <c r="D298" t="s">
        <v>37</v>
      </c>
      <c r="E298" t="s">
        <v>38</v>
      </c>
      <c r="F298" t="s">
        <v>493</v>
      </c>
      <c r="G298">
        <v>2</v>
      </c>
      <c r="H298" t="s">
        <v>494</v>
      </c>
      <c r="I298" t="s">
        <v>473</v>
      </c>
      <c r="J298" t="s">
        <v>1132</v>
      </c>
      <c r="K298" t="s">
        <v>66</v>
      </c>
      <c r="L298" t="s">
        <v>604</v>
      </c>
      <c r="M298" s="2">
        <v>6800000</v>
      </c>
      <c r="N298" s="2">
        <v>2039184</v>
      </c>
      <c r="O298" s="2">
        <v>3400000</v>
      </c>
      <c r="P298" s="2">
        <v>1019592</v>
      </c>
      <c r="Q298" s="1">
        <v>46234</v>
      </c>
      <c r="R298" s="1">
        <v>46326</v>
      </c>
      <c r="S298">
        <v>50</v>
      </c>
      <c r="V298">
        <v>1019592</v>
      </c>
      <c r="AH298">
        <v>1019592</v>
      </c>
    </row>
    <row r="299" spans="1:34" hidden="1" x14ac:dyDescent="0.45">
      <c r="A299">
        <v>13579</v>
      </c>
      <c r="B299" t="s">
        <v>515</v>
      </c>
      <c r="C299" t="s">
        <v>36</v>
      </c>
      <c r="D299" t="s">
        <v>37</v>
      </c>
      <c r="E299" t="s">
        <v>38</v>
      </c>
      <c r="F299" t="s">
        <v>605</v>
      </c>
      <c r="G299">
        <v>2</v>
      </c>
      <c r="H299" t="s">
        <v>606</v>
      </c>
      <c r="I299" t="s">
        <v>552</v>
      </c>
      <c r="J299" t="s">
        <v>1133</v>
      </c>
      <c r="K299" t="s">
        <v>66</v>
      </c>
      <c r="L299" t="s">
        <v>607</v>
      </c>
      <c r="M299" s="2">
        <v>360000000</v>
      </c>
      <c r="N299" s="2">
        <v>108000000</v>
      </c>
      <c r="O299" s="2">
        <v>72000000</v>
      </c>
      <c r="P299" s="2">
        <v>21600000</v>
      </c>
      <c r="Q299" s="1">
        <v>46265</v>
      </c>
      <c r="R299" s="1">
        <v>46265</v>
      </c>
      <c r="S299">
        <v>20</v>
      </c>
      <c r="V299">
        <v>1440000</v>
      </c>
      <c r="X299">
        <v>20160000</v>
      </c>
      <c r="AH299">
        <v>21600000</v>
      </c>
    </row>
    <row r="300" spans="1:34" hidden="1" x14ac:dyDescent="0.45">
      <c r="A300">
        <v>13580</v>
      </c>
      <c r="B300" t="s">
        <v>515</v>
      </c>
      <c r="C300" t="s">
        <v>36</v>
      </c>
      <c r="D300" t="s">
        <v>37</v>
      </c>
      <c r="E300" t="s">
        <v>38</v>
      </c>
      <c r="F300" t="s">
        <v>605</v>
      </c>
      <c r="G300">
        <v>2</v>
      </c>
      <c r="H300" t="s">
        <v>606</v>
      </c>
      <c r="I300" t="s">
        <v>552</v>
      </c>
      <c r="J300" t="s">
        <v>1133</v>
      </c>
      <c r="K300" t="s">
        <v>66</v>
      </c>
      <c r="L300" t="s">
        <v>608</v>
      </c>
      <c r="M300" s="2">
        <v>90000000</v>
      </c>
      <c r="N300" s="2">
        <v>27000000</v>
      </c>
      <c r="O300" s="2">
        <v>18000000</v>
      </c>
      <c r="P300" s="2">
        <v>5400000</v>
      </c>
      <c r="Q300" s="1">
        <v>46265</v>
      </c>
      <c r="R300" s="1">
        <v>46295</v>
      </c>
      <c r="S300">
        <v>20</v>
      </c>
      <c r="V300">
        <v>360000</v>
      </c>
      <c r="X300">
        <v>5040000</v>
      </c>
      <c r="AH300">
        <v>5400000</v>
      </c>
    </row>
    <row r="301" spans="1:34" hidden="1" x14ac:dyDescent="0.45">
      <c r="A301">
        <v>13581</v>
      </c>
      <c r="B301" t="s">
        <v>515</v>
      </c>
      <c r="C301" t="s">
        <v>36</v>
      </c>
      <c r="D301" t="s">
        <v>37</v>
      </c>
      <c r="E301" t="s">
        <v>38</v>
      </c>
      <c r="F301" t="s">
        <v>609</v>
      </c>
      <c r="G301">
        <v>1</v>
      </c>
      <c r="H301" t="s">
        <v>610</v>
      </c>
      <c r="I301" t="s">
        <v>552</v>
      </c>
      <c r="J301" t="s">
        <v>1133</v>
      </c>
      <c r="K301" t="s">
        <v>42</v>
      </c>
      <c r="L301" t="s">
        <v>288</v>
      </c>
      <c r="M301" s="2">
        <v>120000000</v>
      </c>
      <c r="N301" s="2">
        <v>120000000</v>
      </c>
      <c r="O301" s="2">
        <v>36000000</v>
      </c>
      <c r="P301" s="2">
        <v>36000000</v>
      </c>
      <c r="Q301" s="1">
        <v>46387</v>
      </c>
      <c r="R301" s="1">
        <v>46387</v>
      </c>
      <c r="S301">
        <v>30</v>
      </c>
      <c r="U301">
        <v>36000000</v>
      </c>
      <c r="AH301">
        <v>36000000</v>
      </c>
    </row>
    <row r="302" spans="1:34" hidden="1" x14ac:dyDescent="0.45">
      <c r="A302">
        <v>13585</v>
      </c>
      <c r="B302" t="s">
        <v>574</v>
      </c>
      <c r="C302" t="s">
        <v>36</v>
      </c>
      <c r="D302" t="s">
        <v>37</v>
      </c>
      <c r="E302" t="s">
        <v>38</v>
      </c>
      <c r="F302" t="s">
        <v>611</v>
      </c>
      <c r="G302">
        <v>1</v>
      </c>
      <c r="H302" t="s">
        <v>612</v>
      </c>
      <c r="I302" t="s">
        <v>41</v>
      </c>
      <c r="J302" t="s">
        <v>1131</v>
      </c>
      <c r="K302" t="s">
        <v>42</v>
      </c>
      <c r="L302" t="s">
        <v>613</v>
      </c>
      <c r="M302" s="2">
        <v>350000000</v>
      </c>
      <c r="N302" s="2">
        <v>71610000</v>
      </c>
      <c r="O302" s="2">
        <v>105000000</v>
      </c>
      <c r="P302" s="2">
        <v>21483000</v>
      </c>
      <c r="Q302" s="1">
        <v>46356</v>
      </c>
      <c r="R302" s="1">
        <v>46752</v>
      </c>
      <c r="S302">
        <v>30</v>
      </c>
      <c r="V302">
        <v>0</v>
      </c>
      <c r="X302">
        <v>21483000</v>
      </c>
      <c r="AH302">
        <v>21483000</v>
      </c>
    </row>
    <row r="303" spans="1:34" hidden="1" x14ac:dyDescent="0.45">
      <c r="A303">
        <v>13598</v>
      </c>
      <c r="B303" t="s">
        <v>311</v>
      </c>
      <c r="C303" t="s">
        <v>36</v>
      </c>
      <c r="D303" t="s">
        <v>37</v>
      </c>
      <c r="E303" t="s">
        <v>38</v>
      </c>
      <c r="F303" t="s">
        <v>614</v>
      </c>
      <c r="G303">
        <v>3</v>
      </c>
      <c r="H303" t="s">
        <v>615</v>
      </c>
      <c r="I303" t="s">
        <v>161</v>
      </c>
      <c r="J303" t="s">
        <v>1133</v>
      </c>
      <c r="K303" t="s">
        <v>146</v>
      </c>
      <c r="L303" t="s">
        <v>616</v>
      </c>
      <c r="M303" s="2">
        <v>10200000</v>
      </c>
      <c r="N303" s="2">
        <v>130550</v>
      </c>
      <c r="O303" s="2">
        <v>5100000</v>
      </c>
      <c r="P303" s="2">
        <v>65275</v>
      </c>
      <c r="Q303" s="1">
        <v>46248</v>
      </c>
      <c r="R303" s="1">
        <v>46290</v>
      </c>
      <c r="S303">
        <v>50</v>
      </c>
      <c r="V303">
        <v>65275</v>
      </c>
      <c r="AH303">
        <v>65275</v>
      </c>
    </row>
    <row r="304" spans="1:34" x14ac:dyDescent="0.45">
      <c r="A304">
        <v>13601</v>
      </c>
      <c r="B304" t="s">
        <v>617</v>
      </c>
      <c r="C304" t="s">
        <v>36</v>
      </c>
      <c r="D304" t="s">
        <v>37</v>
      </c>
      <c r="E304" t="s">
        <v>38</v>
      </c>
      <c r="F304" t="s">
        <v>618</v>
      </c>
      <c r="G304">
        <v>5</v>
      </c>
      <c r="H304" t="s">
        <v>619</v>
      </c>
      <c r="I304" t="s">
        <v>620</v>
      </c>
      <c r="J304" t="s">
        <v>1133</v>
      </c>
      <c r="K304" t="s">
        <v>210</v>
      </c>
      <c r="L304" t="s">
        <v>442</v>
      </c>
      <c r="M304" s="2">
        <v>380000000</v>
      </c>
      <c r="N304" s="2">
        <v>90000000</v>
      </c>
      <c r="O304" s="2">
        <v>380000000</v>
      </c>
      <c r="P304" s="2">
        <v>90000000</v>
      </c>
      <c r="Q304" s="1">
        <v>46143</v>
      </c>
      <c r="R304" s="1">
        <v>46171</v>
      </c>
      <c r="S304">
        <v>100</v>
      </c>
      <c r="X304">
        <v>90000000</v>
      </c>
      <c r="AH304">
        <v>90000000</v>
      </c>
    </row>
    <row r="305" spans="1:34" x14ac:dyDescent="0.45">
      <c r="A305">
        <v>13602</v>
      </c>
      <c r="B305" t="s">
        <v>617</v>
      </c>
      <c r="C305" t="s">
        <v>36</v>
      </c>
      <c r="D305" t="s">
        <v>37</v>
      </c>
      <c r="E305" t="s">
        <v>38</v>
      </c>
      <c r="F305" t="s">
        <v>621</v>
      </c>
      <c r="G305">
        <v>2</v>
      </c>
      <c r="H305" t="s">
        <v>622</v>
      </c>
      <c r="I305" t="s">
        <v>620</v>
      </c>
      <c r="J305" t="s">
        <v>1133</v>
      </c>
      <c r="K305" t="s">
        <v>66</v>
      </c>
      <c r="L305" t="s">
        <v>442</v>
      </c>
      <c r="M305" s="2">
        <v>265000000</v>
      </c>
      <c r="N305" s="2">
        <v>80000000</v>
      </c>
      <c r="O305" s="2">
        <v>265000000</v>
      </c>
      <c r="P305" s="2">
        <v>80000000</v>
      </c>
      <c r="Q305" s="1">
        <v>46237</v>
      </c>
      <c r="R305" s="1">
        <v>46262</v>
      </c>
      <c r="S305">
        <v>100</v>
      </c>
      <c r="V305">
        <v>15000000</v>
      </c>
      <c r="X305">
        <v>65000000</v>
      </c>
      <c r="AH305">
        <v>80000000</v>
      </c>
    </row>
    <row r="306" spans="1:34" x14ac:dyDescent="0.45">
      <c r="A306">
        <v>13603</v>
      </c>
      <c r="B306" t="s">
        <v>617</v>
      </c>
      <c r="C306" t="s">
        <v>36</v>
      </c>
      <c r="D306" t="s">
        <v>37</v>
      </c>
      <c r="E306" t="s">
        <v>38</v>
      </c>
      <c r="F306" t="s">
        <v>623</v>
      </c>
      <c r="G306">
        <v>2</v>
      </c>
      <c r="H306" t="s">
        <v>624</v>
      </c>
      <c r="I306" t="s">
        <v>620</v>
      </c>
      <c r="J306" t="s">
        <v>1133</v>
      </c>
      <c r="K306" t="s">
        <v>66</v>
      </c>
      <c r="L306" t="s">
        <v>625</v>
      </c>
      <c r="M306" s="2">
        <v>150000000</v>
      </c>
      <c r="N306" s="2">
        <v>150000000</v>
      </c>
      <c r="O306" s="2">
        <v>150000000</v>
      </c>
      <c r="P306" s="2">
        <v>150000000</v>
      </c>
      <c r="Q306" s="1">
        <v>46353</v>
      </c>
      <c r="R306" s="1">
        <v>46387</v>
      </c>
      <c r="S306">
        <v>100</v>
      </c>
      <c r="X306">
        <v>150000000</v>
      </c>
      <c r="AH306">
        <v>150000000</v>
      </c>
    </row>
    <row r="307" spans="1:34" x14ac:dyDescent="0.45">
      <c r="A307">
        <v>13604</v>
      </c>
      <c r="B307" t="s">
        <v>617</v>
      </c>
      <c r="C307" t="s">
        <v>36</v>
      </c>
      <c r="D307" t="s">
        <v>37</v>
      </c>
      <c r="E307" t="s">
        <v>38</v>
      </c>
      <c r="F307" t="s">
        <v>626</v>
      </c>
      <c r="G307">
        <v>1</v>
      </c>
      <c r="H307" t="s">
        <v>627</v>
      </c>
      <c r="I307" t="s">
        <v>628</v>
      </c>
      <c r="J307" t="s">
        <v>1133</v>
      </c>
      <c r="K307" t="s">
        <v>42</v>
      </c>
      <c r="L307" t="s">
        <v>102</v>
      </c>
      <c r="M307" s="2">
        <v>4500</v>
      </c>
      <c r="N307" s="2">
        <v>4500</v>
      </c>
      <c r="O307" s="2">
        <v>4500</v>
      </c>
      <c r="P307" s="2">
        <v>4500</v>
      </c>
      <c r="Q307" s="1">
        <v>46352</v>
      </c>
      <c r="R307" s="1">
        <v>46387</v>
      </c>
      <c r="S307">
        <v>100</v>
      </c>
      <c r="X307">
        <v>4500</v>
      </c>
      <c r="AH307">
        <v>4500</v>
      </c>
    </row>
    <row r="308" spans="1:34" hidden="1" x14ac:dyDescent="0.45">
      <c r="A308">
        <v>14602</v>
      </c>
      <c r="B308" t="s">
        <v>454</v>
      </c>
      <c r="C308" t="s">
        <v>36</v>
      </c>
      <c r="D308" t="s">
        <v>37</v>
      </c>
      <c r="E308" t="s">
        <v>38</v>
      </c>
      <c r="F308" t="s">
        <v>629</v>
      </c>
      <c r="G308">
        <v>3</v>
      </c>
      <c r="H308" t="s">
        <v>630</v>
      </c>
      <c r="I308" t="s">
        <v>457</v>
      </c>
      <c r="J308" t="s">
        <v>1132</v>
      </c>
      <c r="K308" t="s">
        <v>146</v>
      </c>
      <c r="L308" t="s">
        <v>220</v>
      </c>
      <c r="M308" s="2">
        <v>500000000</v>
      </c>
      <c r="N308" s="2">
        <v>50000000</v>
      </c>
      <c r="O308" s="2">
        <v>250000000</v>
      </c>
      <c r="P308" s="2">
        <v>25000000</v>
      </c>
      <c r="Q308" s="1">
        <v>46247</v>
      </c>
      <c r="R308" s="1">
        <v>46294</v>
      </c>
      <c r="S308">
        <v>50</v>
      </c>
      <c r="T308">
        <v>25000000</v>
      </c>
      <c r="AH308">
        <v>25000000</v>
      </c>
    </row>
    <row r="309" spans="1:34" hidden="1" x14ac:dyDescent="0.45">
      <c r="A309">
        <v>14603</v>
      </c>
      <c r="B309" t="s">
        <v>454</v>
      </c>
      <c r="C309" t="s">
        <v>36</v>
      </c>
      <c r="D309" t="s">
        <v>37</v>
      </c>
      <c r="E309" t="s">
        <v>38</v>
      </c>
      <c r="F309" t="s">
        <v>629</v>
      </c>
      <c r="G309">
        <v>3</v>
      </c>
      <c r="H309" t="s">
        <v>630</v>
      </c>
      <c r="I309" t="s">
        <v>457</v>
      </c>
      <c r="J309" t="s">
        <v>1132</v>
      </c>
      <c r="K309" t="s">
        <v>146</v>
      </c>
      <c r="L309" t="s">
        <v>221</v>
      </c>
      <c r="M309" s="2">
        <v>500000000</v>
      </c>
      <c r="N309" s="2">
        <v>50000000</v>
      </c>
      <c r="O309" s="2">
        <v>250000000</v>
      </c>
      <c r="P309" s="2">
        <v>25000000</v>
      </c>
      <c r="Q309" s="1">
        <v>46247</v>
      </c>
      <c r="R309" s="1">
        <v>46379</v>
      </c>
      <c r="S309">
        <v>50</v>
      </c>
      <c r="T309">
        <v>25000000</v>
      </c>
      <c r="AH309">
        <v>25000000</v>
      </c>
    </row>
    <row r="310" spans="1:34" hidden="1" x14ac:dyDescent="0.45">
      <c r="A310">
        <v>14604</v>
      </c>
      <c r="B310" t="s">
        <v>311</v>
      </c>
      <c r="C310" t="s">
        <v>36</v>
      </c>
      <c r="D310" t="s">
        <v>37</v>
      </c>
      <c r="E310" t="s">
        <v>38</v>
      </c>
      <c r="F310" t="s">
        <v>631</v>
      </c>
      <c r="G310">
        <v>3</v>
      </c>
      <c r="H310" t="s">
        <v>632</v>
      </c>
      <c r="I310" t="s">
        <v>547</v>
      </c>
      <c r="J310" t="s">
        <v>1133</v>
      </c>
      <c r="K310" t="s">
        <v>146</v>
      </c>
      <c r="L310" t="s">
        <v>616</v>
      </c>
      <c r="M310" s="2">
        <v>300000000</v>
      </c>
      <c r="N310" s="2">
        <v>50000000</v>
      </c>
      <c r="O310" s="2">
        <v>150000000</v>
      </c>
      <c r="P310" s="2">
        <v>25000000</v>
      </c>
      <c r="Q310" s="1">
        <v>46142</v>
      </c>
      <c r="R310" s="1">
        <v>46164</v>
      </c>
      <c r="S310">
        <v>50</v>
      </c>
      <c r="V310">
        <v>25000000</v>
      </c>
      <c r="AH310">
        <v>25000000</v>
      </c>
    </row>
    <row r="311" spans="1:34" hidden="1" x14ac:dyDescent="0.45">
      <c r="A311">
        <v>14608</v>
      </c>
      <c r="B311" t="s">
        <v>526</v>
      </c>
      <c r="C311" t="s">
        <v>36</v>
      </c>
      <c r="D311" t="s">
        <v>37</v>
      </c>
      <c r="E311" t="s">
        <v>38</v>
      </c>
      <c r="F311" t="s">
        <v>633</v>
      </c>
      <c r="G311">
        <v>3</v>
      </c>
      <c r="H311" t="s">
        <v>634</v>
      </c>
      <c r="I311" t="s">
        <v>635</v>
      </c>
      <c r="J311" t="s">
        <v>1133</v>
      </c>
      <c r="K311" t="s">
        <v>146</v>
      </c>
      <c r="L311" t="s">
        <v>584</v>
      </c>
      <c r="M311" s="2">
        <v>15000000</v>
      </c>
      <c r="N311" s="2">
        <v>15000000</v>
      </c>
      <c r="O311" s="2">
        <v>4500000</v>
      </c>
      <c r="P311" s="2">
        <v>4500000</v>
      </c>
      <c r="Q311" s="1">
        <v>46213</v>
      </c>
      <c r="R311" s="1">
        <v>46234</v>
      </c>
      <c r="S311">
        <v>30</v>
      </c>
      <c r="X311">
        <v>4500000</v>
      </c>
      <c r="AH311">
        <v>4500000</v>
      </c>
    </row>
    <row r="312" spans="1:34" hidden="1" x14ac:dyDescent="0.45">
      <c r="A312">
        <v>14609</v>
      </c>
      <c r="B312" t="s">
        <v>526</v>
      </c>
      <c r="C312" t="s">
        <v>36</v>
      </c>
      <c r="D312" t="s">
        <v>37</v>
      </c>
      <c r="E312" t="s">
        <v>38</v>
      </c>
      <c r="F312" t="s">
        <v>633</v>
      </c>
      <c r="G312">
        <v>3</v>
      </c>
      <c r="H312" t="s">
        <v>634</v>
      </c>
      <c r="I312" t="s">
        <v>635</v>
      </c>
      <c r="J312" t="s">
        <v>1133</v>
      </c>
      <c r="K312" t="s">
        <v>146</v>
      </c>
      <c r="L312" t="s">
        <v>636</v>
      </c>
      <c r="M312" s="2">
        <v>15000000</v>
      </c>
      <c r="N312" s="2">
        <v>15000000</v>
      </c>
      <c r="O312" s="2">
        <v>4500000</v>
      </c>
      <c r="P312" s="2">
        <v>4500000</v>
      </c>
      <c r="Q312" s="1">
        <v>46213</v>
      </c>
      <c r="R312" s="1">
        <v>46325</v>
      </c>
      <c r="S312">
        <v>30</v>
      </c>
      <c r="X312">
        <v>4500000</v>
      </c>
      <c r="AH312">
        <v>4500000</v>
      </c>
    </row>
    <row r="313" spans="1:34" hidden="1" x14ac:dyDescent="0.45">
      <c r="A313">
        <v>14610</v>
      </c>
      <c r="B313" t="s">
        <v>526</v>
      </c>
      <c r="C313" t="s">
        <v>36</v>
      </c>
      <c r="D313" t="s">
        <v>37</v>
      </c>
      <c r="E313" t="s">
        <v>38</v>
      </c>
      <c r="F313" t="s">
        <v>637</v>
      </c>
      <c r="G313">
        <v>3</v>
      </c>
      <c r="H313" t="s">
        <v>634</v>
      </c>
      <c r="I313" t="s">
        <v>635</v>
      </c>
      <c r="J313" t="s">
        <v>1133</v>
      </c>
      <c r="K313" t="s">
        <v>146</v>
      </c>
      <c r="L313" t="s">
        <v>584</v>
      </c>
      <c r="M313" s="2">
        <v>15000000</v>
      </c>
      <c r="N313" s="2">
        <v>15000000</v>
      </c>
      <c r="O313" s="2">
        <v>4500000</v>
      </c>
      <c r="P313" s="2">
        <v>4500000</v>
      </c>
      <c r="Q313" s="1">
        <v>46237</v>
      </c>
      <c r="R313" s="1">
        <v>46255</v>
      </c>
      <c r="S313">
        <v>30</v>
      </c>
      <c r="X313">
        <v>4500000</v>
      </c>
      <c r="AH313">
        <v>4500000</v>
      </c>
    </row>
    <row r="314" spans="1:34" hidden="1" x14ac:dyDescent="0.45">
      <c r="A314">
        <v>14611</v>
      </c>
      <c r="B314" t="s">
        <v>526</v>
      </c>
      <c r="C314" t="s">
        <v>36</v>
      </c>
      <c r="D314" t="s">
        <v>37</v>
      </c>
      <c r="E314" t="s">
        <v>38</v>
      </c>
      <c r="F314" t="s">
        <v>637</v>
      </c>
      <c r="G314">
        <v>3</v>
      </c>
      <c r="H314" t="s">
        <v>634</v>
      </c>
      <c r="I314" t="s">
        <v>635</v>
      </c>
      <c r="J314" t="s">
        <v>1133</v>
      </c>
      <c r="K314" t="s">
        <v>146</v>
      </c>
      <c r="L314" t="s">
        <v>636</v>
      </c>
      <c r="M314" s="2">
        <v>15000000</v>
      </c>
      <c r="N314" s="2">
        <v>15000000</v>
      </c>
      <c r="O314" s="2">
        <v>4500000</v>
      </c>
      <c r="P314" s="2">
        <v>4500000</v>
      </c>
      <c r="Q314" s="1">
        <v>46237</v>
      </c>
      <c r="R314" s="1">
        <v>46325</v>
      </c>
      <c r="S314">
        <v>30</v>
      </c>
      <c r="X314">
        <v>4500000</v>
      </c>
      <c r="AH314">
        <v>4500000</v>
      </c>
    </row>
    <row r="315" spans="1:34" hidden="1" x14ac:dyDescent="0.45">
      <c r="A315">
        <v>14615</v>
      </c>
      <c r="B315" t="s">
        <v>515</v>
      </c>
      <c r="C315" t="s">
        <v>36</v>
      </c>
      <c r="D315" t="s">
        <v>37</v>
      </c>
      <c r="E315" t="s">
        <v>38</v>
      </c>
      <c r="F315" t="s">
        <v>638</v>
      </c>
      <c r="G315">
        <v>3</v>
      </c>
      <c r="H315" t="s">
        <v>639</v>
      </c>
      <c r="I315" t="s">
        <v>152</v>
      </c>
      <c r="J315" t="s">
        <v>1131</v>
      </c>
      <c r="K315" t="s">
        <v>146</v>
      </c>
      <c r="L315" t="s">
        <v>640</v>
      </c>
      <c r="M315" s="2">
        <v>7800000000</v>
      </c>
      <c r="N315" s="2">
        <v>150000000</v>
      </c>
      <c r="O315" s="2">
        <v>3900000000</v>
      </c>
      <c r="P315" s="2">
        <v>75000000</v>
      </c>
      <c r="Q315" s="1">
        <v>46356</v>
      </c>
      <c r="R315" s="1">
        <v>46356</v>
      </c>
      <c r="S315">
        <v>50</v>
      </c>
      <c r="U315">
        <v>75000000</v>
      </c>
      <c r="AH315">
        <v>75000000</v>
      </c>
    </row>
    <row r="316" spans="1:34" hidden="1" x14ac:dyDescent="0.45">
      <c r="A316">
        <v>14619</v>
      </c>
      <c r="B316" t="s">
        <v>574</v>
      </c>
      <c r="C316" t="s">
        <v>36</v>
      </c>
      <c r="D316" t="s">
        <v>37</v>
      </c>
      <c r="E316" t="s">
        <v>38</v>
      </c>
      <c r="F316" t="s">
        <v>641</v>
      </c>
      <c r="G316">
        <v>1</v>
      </c>
      <c r="H316" t="s">
        <v>642</v>
      </c>
      <c r="I316" t="s">
        <v>643</v>
      </c>
      <c r="J316" t="s">
        <v>1131</v>
      </c>
      <c r="K316" t="s">
        <v>42</v>
      </c>
      <c r="L316" t="s">
        <v>514</v>
      </c>
      <c r="M316" s="2">
        <v>50000000</v>
      </c>
      <c r="N316" s="2">
        <v>30000000</v>
      </c>
      <c r="O316" s="2">
        <v>15000000</v>
      </c>
      <c r="P316" s="2">
        <v>9000000</v>
      </c>
      <c r="Q316" s="1">
        <v>46356</v>
      </c>
      <c r="R316" s="1">
        <v>46356</v>
      </c>
      <c r="S316">
        <v>30</v>
      </c>
      <c r="V316">
        <v>9000000</v>
      </c>
      <c r="AH316">
        <v>9000000</v>
      </c>
    </row>
    <row r="317" spans="1:34" hidden="1" x14ac:dyDescent="0.45">
      <c r="A317">
        <v>14620</v>
      </c>
      <c r="B317" t="s">
        <v>574</v>
      </c>
      <c r="C317" t="s">
        <v>36</v>
      </c>
      <c r="D317" t="s">
        <v>37</v>
      </c>
      <c r="E317" t="s">
        <v>38</v>
      </c>
      <c r="F317" t="s">
        <v>644</v>
      </c>
      <c r="G317">
        <v>1</v>
      </c>
      <c r="H317" t="s">
        <v>645</v>
      </c>
      <c r="I317" t="s">
        <v>643</v>
      </c>
      <c r="J317" t="s">
        <v>1131</v>
      </c>
      <c r="K317" t="s">
        <v>42</v>
      </c>
      <c r="L317" t="s">
        <v>514</v>
      </c>
      <c r="M317" s="2">
        <v>150000000</v>
      </c>
      <c r="N317" s="2">
        <v>75000000</v>
      </c>
      <c r="O317" s="2">
        <v>45000000</v>
      </c>
      <c r="P317" s="2">
        <v>22500000</v>
      </c>
      <c r="Q317" s="1">
        <v>46598</v>
      </c>
      <c r="R317" s="1">
        <v>46476</v>
      </c>
      <c r="S317">
        <v>30</v>
      </c>
      <c r="V317">
        <v>5625000</v>
      </c>
      <c r="X317">
        <v>16875000</v>
      </c>
      <c r="AH317">
        <v>22500000</v>
      </c>
    </row>
    <row r="318" spans="1:34" hidden="1" x14ac:dyDescent="0.45">
      <c r="A318">
        <v>14621</v>
      </c>
      <c r="B318" t="s">
        <v>574</v>
      </c>
      <c r="C318" t="s">
        <v>36</v>
      </c>
      <c r="D318" t="s">
        <v>37</v>
      </c>
      <c r="E318" t="s">
        <v>38</v>
      </c>
      <c r="F318" t="s">
        <v>644</v>
      </c>
      <c r="G318">
        <v>1</v>
      </c>
      <c r="H318" t="s">
        <v>645</v>
      </c>
      <c r="I318" t="s">
        <v>643</v>
      </c>
      <c r="J318" t="s">
        <v>1131</v>
      </c>
      <c r="K318" t="s">
        <v>42</v>
      </c>
      <c r="L318" t="s">
        <v>646</v>
      </c>
      <c r="M318" s="2">
        <v>50000000</v>
      </c>
      <c r="N318" s="2">
        <v>25000000</v>
      </c>
      <c r="O318" s="2">
        <v>15000000</v>
      </c>
      <c r="P318" s="2">
        <v>7500000</v>
      </c>
      <c r="Q318" s="1">
        <v>46598</v>
      </c>
      <c r="R318" s="1">
        <v>46751</v>
      </c>
      <c r="S318">
        <v>30</v>
      </c>
      <c r="V318">
        <v>1875000</v>
      </c>
      <c r="X318">
        <v>5625000</v>
      </c>
      <c r="AH318">
        <v>7500000</v>
      </c>
    </row>
    <row r="319" spans="1:34" hidden="1" x14ac:dyDescent="0.45">
      <c r="A319">
        <v>14625</v>
      </c>
      <c r="B319" t="s">
        <v>574</v>
      </c>
      <c r="C319" t="s">
        <v>36</v>
      </c>
      <c r="D319" t="s">
        <v>37</v>
      </c>
      <c r="E319" t="s">
        <v>38</v>
      </c>
      <c r="F319" t="s">
        <v>611</v>
      </c>
      <c r="G319">
        <v>1</v>
      </c>
      <c r="H319" t="s">
        <v>612</v>
      </c>
      <c r="I319" t="s">
        <v>41</v>
      </c>
      <c r="J319" t="s">
        <v>1131</v>
      </c>
      <c r="K319" t="s">
        <v>42</v>
      </c>
      <c r="L319" t="s">
        <v>514</v>
      </c>
      <c r="M319" s="2">
        <v>1250600000</v>
      </c>
      <c r="N319" s="2">
        <v>255955000</v>
      </c>
      <c r="O319" s="2">
        <v>375180000</v>
      </c>
      <c r="P319" s="2">
        <v>76786500</v>
      </c>
      <c r="Q319" s="1">
        <v>46356</v>
      </c>
      <c r="R319" s="1">
        <v>46387</v>
      </c>
      <c r="S319">
        <v>30</v>
      </c>
      <c r="V319">
        <v>0</v>
      </c>
      <c r="X319">
        <v>76786500</v>
      </c>
      <c r="AH319">
        <v>76786500</v>
      </c>
    </row>
    <row r="320" spans="1:34" hidden="1" x14ac:dyDescent="0.45">
      <c r="A320">
        <v>14626</v>
      </c>
      <c r="B320" t="s">
        <v>574</v>
      </c>
      <c r="C320" t="s">
        <v>36</v>
      </c>
      <c r="D320" t="s">
        <v>37</v>
      </c>
      <c r="E320" t="s">
        <v>38</v>
      </c>
      <c r="F320" t="s">
        <v>647</v>
      </c>
      <c r="G320">
        <v>1</v>
      </c>
      <c r="H320" t="s">
        <v>648</v>
      </c>
      <c r="I320" t="s">
        <v>649</v>
      </c>
      <c r="J320" t="s">
        <v>1133</v>
      </c>
      <c r="K320" t="s">
        <v>42</v>
      </c>
      <c r="L320" t="s">
        <v>514</v>
      </c>
      <c r="M320" s="2">
        <v>100000000</v>
      </c>
      <c r="N320" s="2">
        <v>50000000</v>
      </c>
      <c r="O320" s="2">
        <v>40000000</v>
      </c>
      <c r="P320" s="2">
        <v>20000000</v>
      </c>
      <c r="Q320" s="1">
        <v>46356</v>
      </c>
      <c r="R320" s="1">
        <v>46348</v>
      </c>
      <c r="S320">
        <v>40</v>
      </c>
      <c r="V320">
        <v>20000000</v>
      </c>
      <c r="AH320">
        <v>20000000</v>
      </c>
    </row>
    <row r="321" spans="1:34" hidden="1" x14ac:dyDescent="0.45">
      <c r="A321">
        <v>14633</v>
      </c>
      <c r="B321" t="s">
        <v>526</v>
      </c>
      <c r="C321" t="s">
        <v>36</v>
      </c>
      <c r="D321" t="s">
        <v>37</v>
      </c>
      <c r="E321" t="s">
        <v>38</v>
      </c>
      <c r="F321" t="s">
        <v>650</v>
      </c>
      <c r="G321">
        <v>3</v>
      </c>
      <c r="H321" t="s">
        <v>634</v>
      </c>
      <c r="I321" t="s">
        <v>635</v>
      </c>
      <c r="J321" t="s">
        <v>1133</v>
      </c>
      <c r="K321" t="s">
        <v>146</v>
      </c>
      <c r="L321" t="s">
        <v>584</v>
      </c>
      <c r="M321" s="2">
        <v>15000000</v>
      </c>
      <c r="N321" s="2">
        <v>15000000</v>
      </c>
      <c r="O321" s="2">
        <v>4500000</v>
      </c>
      <c r="P321" s="2">
        <v>4500000</v>
      </c>
      <c r="Q321" s="1">
        <v>46272</v>
      </c>
      <c r="R321" s="1">
        <v>46286</v>
      </c>
      <c r="S321">
        <v>30</v>
      </c>
      <c r="X321">
        <v>4500000</v>
      </c>
      <c r="AH321">
        <v>4500000</v>
      </c>
    </row>
    <row r="322" spans="1:34" hidden="1" x14ac:dyDescent="0.45">
      <c r="A322">
        <v>14634</v>
      </c>
      <c r="B322" t="s">
        <v>526</v>
      </c>
      <c r="C322" t="s">
        <v>36</v>
      </c>
      <c r="D322" t="s">
        <v>37</v>
      </c>
      <c r="E322" t="s">
        <v>38</v>
      </c>
      <c r="F322" t="s">
        <v>650</v>
      </c>
      <c r="G322">
        <v>3</v>
      </c>
      <c r="H322" t="s">
        <v>634</v>
      </c>
      <c r="I322" t="s">
        <v>635</v>
      </c>
      <c r="J322" t="s">
        <v>1133</v>
      </c>
      <c r="K322" t="s">
        <v>146</v>
      </c>
      <c r="L322" t="s">
        <v>636</v>
      </c>
      <c r="M322" s="2">
        <v>15000000</v>
      </c>
      <c r="N322" s="2">
        <v>15000000</v>
      </c>
      <c r="O322" s="2">
        <v>4500000</v>
      </c>
      <c r="P322" s="2">
        <v>4500000</v>
      </c>
      <c r="Q322" s="1">
        <v>46272</v>
      </c>
      <c r="R322" s="1">
        <v>46386</v>
      </c>
      <c r="S322">
        <v>30</v>
      </c>
      <c r="X322">
        <v>4500000</v>
      </c>
      <c r="AH322">
        <v>4500000</v>
      </c>
    </row>
    <row r="323" spans="1:34" hidden="1" x14ac:dyDescent="0.45">
      <c r="A323">
        <v>14635</v>
      </c>
      <c r="B323" t="s">
        <v>526</v>
      </c>
      <c r="C323" t="s">
        <v>36</v>
      </c>
      <c r="D323" t="s">
        <v>37</v>
      </c>
      <c r="E323" t="s">
        <v>38</v>
      </c>
      <c r="F323" t="s">
        <v>651</v>
      </c>
      <c r="G323">
        <v>3</v>
      </c>
      <c r="H323" t="s">
        <v>634</v>
      </c>
      <c r="I323" t="s">
        <v>635</v>
      </c>
      <c r="J323" t="s">
        <v>1133</v>
      </c>
      <c r="K323" t="s">
        <v>146</v>
      </c>
      <c r="L323" t="s">
        <v>584</v>
      </c>
      <c r="M323" s="2">
        <v>15000000</v>
      </c>
      <c r="N323" s="2">
        <v>15000000</v>
      </c>
      <c r="O323" s="2">
        <v>4500000</v>
      </c>
      <c r="P323" s="2">
        <v>4500000</v>
      </c>
      <c r="Q323" s="1">
        <v>46300</v>
      </c>
      <c r="R323" s="1">
        <v>46314</v>
      </c>
      <c r="S323">
        <v>30</v>
      </c>
      <c r="X323">
        <v>4500000</v>
      </c>
      <c r="AH323">
        <v>4500000</v>
      </c>
    </row>
    <row r="324" spans="1:34" hidden="1" x14ac:dyDescent="0.45">
      <c r="A324">
        <v>14636</v>
      </c>
      <c r="B324" t="s">
        <v>526</v>
      </c>
      <c r="C324" t="s">
        <v>36</v>
      </c>
      <c r="D324" t="s">
        <v>37</v>
      </c>
      <c r="E324" t="s">
        <v>38</v>
      </c>
      <c r="F324" t="s">
        <v>651</v>
      </c>
      <c r="G324">
        <v>3</v>
      </c>
      <c r="H324" t="s">
        <v>634</v>
      </c>
      <c r="I324" t="s">
        <v>635</v>
      </c>
      <c r="J324" t="s">
        <v>1133</v>
      </c>
      <c r="K324" t="s">
        <v>146</v>
      </c>
      <c r="L324" t="s">
        <v>636</v>
      </c>
      <c r="M324" s="2">
        <v>15000000</v>
      </c>
      <c r="N324" s="2">
        <v>15000000</v>
      </c>
      <c r="O324" s="2">
        <v>4500000</v>
      </c>
      <c r="P324" s="2">
        <v>4500000</v>
      </c>
      <c r="Q324" s="1">
        <v>46300</v>
      </c>
      <c r="R324" s="1">
        <v>46415</v>
      </c>
      <c r="S324">
        <v>30</v>
      </c>
      <c r="X324">
        <v>4500000</v>
      </c>
      <c r="AH324">
        <v>4500000</v>
      </c>
    </row>
    <row r="325" spans="1:34" hidden="1" x14ac:dyDescent="0.45">
      <c r="A325">
        <v>14641</v>
      </c>
      <c r="B325" t="s">
        <v>448</v>
      </c>
      <c r="C325" t="s">
        <v>36</v>
      </c>
      <c r="D325" t="s">
        <v>37</v>
      </c>
      <c r="E325" t="s">
        <v>38</v>
      </c>
      <c r="F325" t="s">
        <v>652</v>
      </c>
      <c r="G325">
        <v>1</v>
      </c>
      <c r="H325" t="s">
        <v>653</v>
      </c>
      <c r="I325" t="s">
        <v>654</v>
      </c>
      <c r="J325" t="s">
        <v>1132</v>
      </c>
      <c r="K325" t="s">
        <v>42</v>
      </c>
      <c r="L325" t="s">
        <v>284</v>
      </c>
      <c r="M325" s="2">
        <v>30000000</v>
      </c>
      <c r="N325" s="2">
        <v>10000000</v>
      </c>
      <c r="O325" s="2">
        <v>15000000</v>
      </c>
      <c r="P325" s="2">
        <v>5000000</v>
      </c>
      <c r="Q325" s="1">
        <v>46295</v>
      </c>
      <c r="R325" s="1">
        <v>46326</v>
      </c>
      <c r="S325">
        <v>50</v>
      </c>
      <c r="V325">
        <v>5000000</v>
      </c>
      <c r="AH325">
        <v>5000000</v>
      </c>
    </row>
    <row r="326" spans="1:34" hidden="1" x14ac:dyDescent="0.45">
      <c r="A326">
        <v>14642</v>
      </c>
      <c r="B326" t="s">
        <v>448</v>
      </c>
      <c r="C326" t="s">
        <v>36</v>
      </c>
      <c r="D326" t="s">
        <v>37</v>
      </c>
      <c r="E326" t="s">
        <v>38</v>
      </c>
      <c r="F326" t="s">
        <v>488</v>
      </c>
      <c r="G326">
        <v>5</v>
      </c>
      <c r="H326" t="s">
        <v>489</v>
      </c>
      <c r="I326" t="s">
        <v>490</v>
      </c>
      <c r="J326" t="s">
        <v>1132</v>
      </c>
      <c r="K326" t="s">
        <v>210</v>
      </c>
      <c r="L326" t="s">
        <v>603</v>
      </c>
      <c r="M326" s="2">
        <v>95833333</v>
      </c>
      <c r="N326" s="2">
        <v>95795000</v>
      </c>
      <c r="O326" s="2">
        <v>47916666.5</v>
      </c>
      <c r="P326" s="2">
        <v>47897500</v>
      </c>
      <c r="Q326" s="1">
        <v>46142</v>
      </c>
      <c r="R326" s="1">
        <v>46234</v>
      </c>
      <c r="S326">
        <v>50</v>
      </c>
      <c r="X326">
        <v>47897500</v>
      </c>
      <c r="AH326">
        <v>47897500</v>
      </c>
    </row>
    <row r="327" spans="1:34" hidden="1" x14ac:dyDescent="0.45">
      <c r="A327">
        <v>14643</v>
      </c>
      <c r="B327" t="s">
        <v>448</v>
      </c>
      <c r="C327" t="s">
        <v>36</v>
      </c>
      <c r="D327" t="s">
        <v>37</v>
      </c>
      <c r="E327" t="s">
        <v>38</v>
      </c>
      <c r="F327" t="s">
        <v>488</v>
      </c>
      <c r="G327">
        <v>5</v>
      </c>
      <c r="H327" t="s">
        <v>489</v>
      </c>
      <c r="I327" t="s">
        <v>490</v>
      </c>
      <c r="J327" t="s">
        <v>1132</v>
      </c>
      <c r="K327" t="s">
        <v>210</v>
      </c>
      <c r="L327" t="s">
        <v>604</v>
      </c>
      <c r="M327" s="2">
        <v>95833333</v>
      </c>
      <c r="N327" s="2">
        <v>95795000</v>
      </c>
      <c r="O327" s="2">
        <v>47916666.5</v>
      </c>
      <c r="P327" s="2">
        <v>47897500</v>
      </c>
      <c r="Q327" s="1">
        <v>46142</v>
      </c>
      <c r="R327" s="1">
        <v>46265</v>
      </c>
      <c r="S327">
        <v>50</v>
      </c>
      <c r="X327">
        <v>47897500</v>
      </c>
      <c r="AH327">
        <v>47897500</v>
      </c>
    </row>
    <row r="328" spans="1:34" hidden="1" x14ac:dyDescent="0.45">
      <c r="A328">
        <v>14645</v>
      </c>
      <c r="B328" t="s">
        <v>515</v>
      </c>
      <c r="C328" t="s">
        <v>36</v>
      </c>
      <c r="D328" t="s">
        <v>37</v>
      </c>
      <c r="E328" t="s">
        <v>38</v>
      </c>
      <c r="F328" t="s">
        <v>655</v>
      </c>
      <c r="G328">
        <v>4</v>
      </c>
      <c r="H328" t="s">
        <v>656</v>
      </c>
      <c r="I328" t="s">
        <v>152</v>
      </c>
      <c r="J328" t="s">
        <v>1131</v>
      </c>
      <c r="K328" t="s">
        <v>51</v>
      </c>
      <c r="L328" t="s">
        <v>518</v>
      </c>
      <c r="M328" s="2">
        <v>200000000</v>
      </c>
      <c r="N328" s="2">
        <v>200000000</v>
      </c>
      <c r="O328" s="2">
        <v>140000000</v>
      </c>
      <c r="P328" s="2">
        <v>140000000</v>
      </c>
      <c r="Q328" s="1">
        <v>46172</v>
      </c>
      <c r="R328" s="1">
        <v>46203</v>
      </c>
      <c r="S328">
        <v>70</v>
      </c>
      <c r="X328">
        <v>140000000</v>
      </c>
      <c r="AH328">
        <v>140000000</v>
      </c>
    </row>
    <row r="329" spans="1:34" hidden="1" x14ac:dyDescent="0.45">
      <c r="A329">
        <v>14646</v>
      </c>
      <c r="B329" t="s">
        <v>448</v>
      </c>
      <c r="C329" t="s">
        <v>36</v>
      </c>
      <c r="D329" t="s">
        <v>37</v>
      </c>
      <c r="E329" t="s">
        <v>38</v>
      </c>
      <c r="F329" t="s">
        <v>657</v>
      </c>
      <c r="G329">
        <v>5</v>
      </c>
      <c r="H329" t="s">
        <v>658</v>
      </c>
      <c r="I329" t="s">
        <v>659</v>
      </c>
      <c r="J329" t="s">
        <v>1133</v>
      </c>
      <c r="K329" t="s">
        <v>210</v>
      </c>
      <c r="L329" t="s">
        <v>660</v>
      </c>
      <c r="M329" s="2">
        <v>52500000</v>
      </c>
      <c r="N329" s="2">
        <v>31500000</v>
      </c>
      <c r="O329" s="2">
        <v>26250000</v>
      </c>
      <c r="P329" s="2">
        <v>15750000</v>
      </c>
      <c r="Q329" s="1">
        <v>46173</v>
      </c>
      <c r="R329" s="1">
        <v>46203</v>
      </c>
      <c r="S329">
        <v>50</v>
      </c>
      <c r="U329">
        <v>15750000</v>
      </c>
      <c r="AH329">
        <v>15750000</v>
      </c>
    </row>
    <row r="330" spans="1:34" hidden="1" x14ac:dyDescent="0.45">
      <c r="A330">
        <v>14662</v>
      </c>
      <c r="B330" t="s">
        <v>448</v>
      </c>
      <c r="C330" t="s">
        <v>36</v>
      </c>
      <c r="D330" t="s">
        <v>37</v>
      </c>
      <c r="E330" t="s">
        <v>38</v>
      </c>
      <c r="F330" t="s">
        <v>661</v>
      </c>
      <c r="G330">
        <v>1</v>
      </c>
      <c r="H330" t="s">
        <v>662</v>
      </c>
      <c r="I330" t="s">
        <v>663</v>
      </c>
      <c r="J330" t="s">
        <v>1132</v>
      </c>
      <c r="K330" t="s">
        <v>42</v>
      </c>
      <c r="L330" t="s">
        <v>284</v>
      </c>
      <c r="M330" s="2">
        <v>650000000</v>
      </c>
      <c r="N330" s="2">
        <v>150000000</v>
      </c>
      <c r="O330" s="2">
        <v>325000000</v>
      </c>
      <c r="P330" s="2">
        <v>75000000</v>
      </c>
      <c r="Q330" s="1">
        <v>46356</v>
      </c>
      <c r="R330" s="1">
        <v>46387</v>
      </c>
      <c r="S330">
        <v>50</v>
      </c>
      <c r="V330">
        <v>75000000</v>
      </c>
      <c r="AH330">
        <v>75000000</v>
      </c>
    </row>
    <row r="331" spans="1:34" hidden="1" x14ac:dyDescent="0.45">
      <c r="A331">
        <v>14663</v>
      </c>
      <c r="B331" t="s">
        <v>515</v>
      </c>
      <c r="C331" t="s">
        <v>36</v>
      </c>
      <c r="D331" t="s">
        <v>37</v>
      </c>
      <c r="E331" t="s">
        <v>38</v>
      </c>
      <c r="F331" t="s">
        <v>664</v>
      </c>
      <c r="G331">
        <v>4</v>
      </c>
      <c r="H331" t="s">
        <v>665</v>
      </c>
      <c r="I331" t="s">
        <v>666</v>
      </c>
      <c r="J331" t="s">
        <v>1132</v>
      </c>
      <c r="K331" t="s">
        <v>51</v>
      </c>
      <c r="L331" t="s">
        <v>667</v>
      </c>
      <c r="M331" s="2">
        <v>2500000000</v>
      </c>
      <c r="N331" s="2">
        <v>362500000</v>
      </c>
      <c r="O331" s="2">
        <v>1250000000</v>
      </c>
      <c r="P331" s="2">
        <v>181250000</v>
      </c>
      <c r="Q331" s="1">
        <v>46234</v>
      </c>
      <c r="R331" s="1">
        <v>46234</v>
      </c>
      <c r="S331">
        <v>50</v>
      </c>
      <c r="V331">
        <v>181250000</v>
      </c>
      <c r="AH331">
        <v>181250000</v>
      </c>
    </row>
    <row r="332" spans="1:34" hidden="1" x14ac:dyDescent="0.45">
      <c r="A332">
        <v>14664</v>
      </c>
      <c r="B332" t="s">
        <v>515</v>
      </c>
      <c r="C332" t="s">
        <v>36</v>
      </c>
      <c r="D332" t="s">
        <v>37</v>
      </c>
      <c r="E332" t="s">
        <v>38</v>
      </c>
      <c r="F332" t="s">
        <v>664</v>
      </c>
      <c r="G332">
        <v>4</v>
      </c>
      <c r="H332" t="s">
        <v>665</v>
      </c>
      <c r="I332" t="s">
        <v>666</v>
      </c>
      <c r="J332" t="s">
        <v>1132</v>
      </c>
      <c r="K332" t="s">
        <v>51</v>
      </c>
      <c r="L332" t="s">
        <v>668</v>
      </c>
      <c r="M332" s="2">
        <v>2500000000</v>
      </c>
      <c r="N332" s="2">
        <v>362500000</v>
      </c>
      <c r="O332" s="2">
        <v>1250000000</v>
      </c>
      <c r="P332" s="2">
        <v>181250000</v>
      </c>
      <c r="Q332" s="1">
        <v>46234</v>
      </c>
      <c r="R332" s="1">
        <v>46356</v>
      </c>
      <c r="S332">
        <v>50</v>
      </c>
      <c r="V332">
        <v>181250000</v>
      </c>
      <c r="AH332">
        <v>181250000</v>
      </c>
    </row>
    <row r="333" spans="1:34" hidden="1" x14ac:dyDescent="0.45">
      <c r="A333">
        <v>14668</v>
      </c>
      <c r="B333" t="s">
        <v>574</v>
      </c>
      <c r="C333" t="s">
        <v>36</v>
      </c>
      <c r="D333" t="s">
        <v>37</v>
      </c>
      <c r="E333" t="s">
        <v>38</v>
      </c>
      <c r="F333" t="s">
        <v>669</v>
      </c>
      <c r="G333">
        <v>1</v>
      </c>
      <c r="H333" t="s">
        <v>670</v>
      </c>
      <c r="I333" t="s">
        <v>671</v>
      </c>
      <c r="J333" t="s">
        <v>1133</v>
      </c>
      <c r="K333" t="s">
        <v>42</v>
      </c>
      <c r="L333" t="s">
        <v>672</v>
      </c>
      <c r="M333" s="2">
        <v>350000000</v>
      </c>
      <c r="N333" s="2">
        <v>35000000</v>
      </c>
      <c r="O333" s="2">
        <v>140000000</v>
      </c>
      <c r="P333" s="2">
        <v>14000000</v>
      </c>
      <c r="Q333" s="1">
        <v>46356</v>
      </c>
      <c r="R333" s="1">
        <v>46356</v>
      </c>
      <c r="S333">
        <v>40</v>
      </c>
      <c r="V333">
        <v>14000000</v>
      </c>
      <c r="AH333">
        <v>14000000</v>
      </c>
    </row>
    <row r="334" spans="1:34" hidden="1" x14ac:dyDescent="0.45">
      <c r="A334">
        <v>14669</v>
      </c>
      <c r="B334" t="s">
        <v>574</v>
      </c>
      <c r="C334" t="s">
        <v>36</v>
      </c>
      <c r="D334" t="s">
        <v>37</v>
      </c>
      <c r="E334" t="s">
        <v>38</v>
      </c>
      <c r="F334" t="s">
        <v>669</v>
      </c>
      <c r="G334">
        <v>1</v>
      </c>
      <c r="H334" t="s">
        <v>670</v>
      </c>
      <c r="I334" t="s">
        <v>671</v>
      </c>
      <c r="J334" t="s">
        <v>1133</v>
      </c>
      <c r="K334" t="s">
        <v>42</v>
      </c>
      <c r="L334" t="s">
        <v>673</v>
      </c>
      <c r="M334" s="2">
        <v>100000000</v>
      </c>
      <c r="N334" s="2">
        <v>10000000</v>
      </c>
      <c r="O334" s="2">
        <v>40000000</v>
      </c>
      <c r="P334" s="2">
        <v>4000000</v>
      </c>
      <c r="Q334" s="1">
        <v>46356</v>
      </c>
      <c r="R334" s="1">
        <v>46387</v>
      </c>
      <c r="S334">
        <v>40</v>
      </c>
      <c r="V334">
        <v>4000000</v>
      </c>
      <c r="AH334">
        <v>4000000</v>
      </c>
    </row>
    <row r="335" spans="1:34" hidden="1" x14ac:dyDescent="0.45">
      <c r="A335">
        <v>14670</v>
      </c>
      <c r="B335" t="s">
        <v>574</v>
      </c>
      <c r="C335" t="s">
        <v>36</v>
      </c>
      <c r="D335" t="s">
        <v>37</v>
      </c>
      <c r="E335" t="s">
        <v>38</v>
      </c>
      <c r="F335" t="s">
        <v>669</v>
      </c>
      <c r="G335">
        <v>1</v>
      </c>
      <c r="H335" t="s">
        <v>670</v>
      </c>
      <c r="I335" t="s">
        <v>671</v>
      </c>
      <c r="J335" t="s">
        <v>1133</v>
      </c>
      <c r="K335" t="s">
        <v>42</v>
      </c>
      <c r="L335" t="s">
        <v>674</v>
      </c>
      <c r="M335" s="2">
        <v>50000000</v>
      </c>
      <c r="N335" s="2">
        <v>5000000</v>
      </c>
      <c r="O335" s="2">
        <v>20000000</v>
      </c>
      <c r="P335" s="2">
        <v>2000000</v>
      </c>
      <c r="Q335" s="1">
        <v>46356</v>
      </c>
      <c r="R335" s="1">
        <v>46477</v>
      </c>
      <c r="S335">
        <v>40</v>
      </c>
      <c r="V335">
        <v>2000000</v>
      </c>
      <c r="AH335">
        <v>2000000</v>
      </c>
    </row>
    <row r="336" spans="1:34" hidden="1" x14ac:dyDescent="0.45">
      <c r="A336">
        <v>14675</v>
      </c>
      <c r="B336" t="s">
        <v>515</v>
      </c>
      <c r="C336" t="s">
        <v>36</v>
      </c>
      <c r="D336" t="s">
        <v>37</v>
      </c>
      <c r="E336" t="s">
        <v>38</v>
      </c>
      <c r="F336" t="s">
        <v>675</v>
      </c>
      <c r="G336">
        <v>4</v>
      </c>
      <c r="H336" t="s">
        <v>676</v>
      </c>
      <c r="I336" t="s">
        <v>677</v>
      </c>
      <c r="J336" t="s">
        <v>1133</v>
      </c>
      <c r="K336" t="s">
        <v>51</v>
      </c>
      <c r="L336" t="s">
        <v>678</v>
      </c>
      <c r="M336" s="2">
        <v>650000000</v>
      </c>
      <c r="N336" s="2">
        <v>162500000</v>
      </c>
      <c r="O336" s="2">
        <v>130000000</v>
      </c>
      <c r="P336" s="2">
        <v>32500000</v>
      </c>
      <c r="Q336" s="1">
        <v>46265</v>
      </c>
      <c r="R336" s="1">
        <v>46203</v>
      </c>
      <c r="S336">
        <v>20</v>
      </c>
      <c r="U336">
        <v>8125000</v>
      </c>
      <c r="X336">
        <v>24375000</v>
      </c>
      <c r="AH336">
        <v>32500000</v>
      </c>
    </row>
    <row r="337" spans="1:34" x14ac:dyDescent="0.45">
      <c r="A337">
        <v>15677</v>
      </c>
      <c r="B337" t="s">
        <v>617</v>
      </c>
      <c r="C337" t="s">
        <v>36</v>
      </c>
      <c r="D337" t="s">
        <v>37</v>
      </c>
      <c r="E337" t="s">
        <v>38</v>
      </c>
      <c r="F337" t="s">
        <v>679</v>
      </c>
      <c r="G337">
        <v>2</v>
      </c>
      <c r="H337" t="s">
        <v>680</v>
      </c>
      <c r="I337" t="s">
        <v>681</v>
      </c>
      <c r="J337" t="s">
        <v>1132</v>
      </c>
      <c r="K337" t="s">
        <v>66</v>
      </c>
      <c r="L337" t="s">
        <v>43</v>
      </c>
      <c r="M337" s="2">
        <v>50000000</v>
      </c>
      <c r="N337" s="2">
        <v>50000000</v>
      </c>
      <c r="O337" s="2">
        <v>25000000</v>
      </c>
      <c r="P337" s="2">
        <v>25000000</v>
      </c>
      <c r="Q337" s="1">
        <v>46203</v>
      </c>
      <c r="R337" s="1">
        <v>46203</v>
      </c>
      <c r="S337">
        <v>50</v>
      </c>
      <c r="X337">
        <v>25000000</v>
      </c>
      <c r="AH337">
        <v>25000000</v>
      </c>
    </row>
    <row r="338" spans="1:34" hidden="1" x14ac:dyDescent="0.45">
      <c r="A338">
        <v>15678</v>
      </c>
      <c r="B338" t="s">
        <v>515</v>
      </c>
      <c r="C338" t="s">
        <v>36</v>
      </c>
      <c r="D338" t="s">
        <v>37</v>
      </c>
      <c r="E338" t="s">
        <v>38</v>
      </c>
      <c r="F338" t="s">
        <v>682</v>
      </c>
      <c r="G338">
        <v>2</v>
      </c>
      <c r="H338" t="s">
        <v>683</v>
      </c>
      <c r="I338" t="s">
        <v>152</v>
      </c>
      <c r="J338" t="s">
        <v>1131</v>
      </c>
      <c r="K338" t="s">
        <v>66</v>
      </c>
      <c r="L338" t="s">
        <v>518</v>
      </c>
      <c r="M338" s="2">
        <v>1750000000</v>
      </c>
      <c r="N338" s="2">
        <v>250000000</v>
      </c>
      <c r="O338" s="2">
        <v>1225000000</v>
      </c>
      <c r="P338" s="2">
        <v>175000000</v>
      </c>
      <c r="Q338" s="1">
        <v>46356</v>
      </c>
      <c r="R338" s="1">
        <v>46356</v>
      </c>
      <c r="S338">
        <v>70</v>
      </c>
      <c r="V338">
        <v>70000000</v>
      </c>
      <c r="X338">
        <v>105000000</v>
      </c>
      <c r="AH338">
        <v>175000000</v>
      </c>
    </row>
    <row r="339" spans="1:34" x14ac:dyDescent="0.45">
      <c r="A339">
        <v>15690</v>
      </c>
      <c r="B339" t="s">
        <v>617</v>
      </c>
      <c r="C339" t="s">
        <v>36</v>
      </c>
      <c r="D339" t="s">
        <v>37</v>
      </c>
      <c r="E339" t="s">
        <v>38</v>
      </c>
      <c r="F339" t="s">
        <v>684</v>
      </c>
      <c r="G339">
        <v>2</v>
      </c>
      <c r="H339" t="s">
        <v>685</v>
      </c>
      <c r="I339" t="s">
        <v>686</v>
      </c>
      <c r="J339" t="s">
        <v>1133</v>
      </c>
      <c r="K339" t="s">
        <v>66</v>
      </c>
      <c r="L339" t="s">
        <v>687</v>
      </c>
      <c r="M339" s="2">
        <v>572500000</v>
      </c>
      <c r="N339" s="2">
        <v>337715100</v>
      </c>
      <c r="O339" s="2">
        <v>572500000</v>
      </c>
      <c r="P339" s="2">
        <v>337715100</v>
      </c>
      <c r="Q339" s="1">
        <v>46387</v>
      </c>
      <c r="R339" s="1">
        <v>46395</v>
      </c>
      <c r="S339">
        <v>100</v>
      </c>
      <c r="V339">
        <v>130430100</v>
      </c>
      <c r="X339">
        <v>207285000</v>
      </c>
      <c r="AH339">
        <v>337715100</v>
      </c>
    </row>
    <row r="340" spans="1:34" x14ac:dyDescent="0.45">
      <c r="A340">
        <v>15691</v>
      </c>
      <c r="B340" t="s">
        <v>617</v>
      </c>
      <c r="C340" t="s">
        <v>36</v>
      </c>
      <c r="D340" t="s">
        <v>37</v>
      </c>
      <c r="E340" t="s">
        <v>38</v>
      </c>
      <c r="F340" t="s">
        <v>684</v>
      </c>
      <c r="G340">
        <v>2</v>
      </c>
      <c r="H340" t="s">
        <v>685</v>
      </c>
      <c r="I340" t="s">
        <v>686</v>
      </c>
      <c r="J340" t="s">
        <v>1133</v>
      </c>
      <c r="K340" t="s">
        <v>66</v>
      </c>
      <c r="L340" t="s">
        <v>688</v>
      </c>
      <c r="M340" s="2">
        <v>162500000</v>
      </c>
      <c r="N340" s="2">
        <v>95839500</v>
      </c>
      <c r="O340" s="2">
        <v>162500000</v>
      </c>
      <c r="P340" s="2">
        <v>95839500</v>
      </c>
      <c r="Q340" s="1">
        <v>46387</v>
      </c>
      <c r="R340" s="1">
        <v>46507</v>
      </c>
      <c r="S340">
        <v>100</v>
      </c>
      <c r="V340">
        <v>37014500</v>
      </c>
      <c r="X340">
        <v>58825000</v>
      </c>
      <c r="AH340">
        <v>95839500</v>
      </c>
    </row>
    <row r="341" spans="1:34" x14ac:dyDescent="0.45">
      <c r="A341">
        <v>15692</v>
      </c>
      <c r="B341" t="s">
        <v>617</v>
      </c>
      <c r="C341" t="s">
        <v>36</v>
      </c>
      <c r="D341" t="s">
        <v>37</v>
      </c>
      <c r="E341" t="s">
        <v>38</v>
      </c>
      <c r="F341" t="s">
        <v>684</v>
      </c>
      <c r="G341">
        <v>2</v>
      </c>
      <c r="H341" t="s">
        <v>685</v>
      </c>
      <c r="I341" t="s">
        <v>686</v>
      </c>
      <c r="J341" t="s">
        <v>1133</v>
      </c>
      <c r="K341" t="s">
        <v>66</v>
      </c>
      <c r="L341" t="s">
        <v>689</v>
      </c>
      <c r="M341" s="2">
        <v>162500000</v>
      </c>
      <c r="N341" s="2">
        <v>95839500</v>
      </c>
      <c r="O341" s="2">
        <v>162500000</v>
      </c>
      <c r="P341" s="2">
        <v>95839500</v>
      </c>
      <c r="Q341" s="1">
        <v>46387</v>
      </c>
      <c r="R341" s="1">
        <v>46689</v>
      </c>
      <c r="S341">
        <v>100</v>
      </c>
      <c r="V341">
        <v>37014500</v>
      </c>
      <c r="X341">
        <v>58825000</v>
      </c>
      <c r="AH341">
        <v>95839500</v>
      </c>
    </row>
    <row r="342" spans="1:34" x14ac:dyDescent="0.45">
      <c r="A342">
        <v>15693</v>
      </c>
      <c r="B342" t="s">
        <v>617</v>
      </c>
      <c r="C342" t="s">
        <v>36</v>
      </c>
      <c r="D342" t="s">
        <v>37</v>
      </c>
      <c r="E342" t="s">
        <v>38</v>
      </c>
      <c r="F342" t="s">
        <v>690</v>
      </c>
      <c r="G342">
        <v>2</v>
      </c>
      <c r="H342" t="s">
        <v>691</v>
      </c>
      <c r="I342" t="s">
        <v>692</v>
      </c>
      <c r="J342" t="s">
        <v>1133</v>
      </c>
      <c r="K342" t="s">
        <v>66</v>
      </c>
      <c r="L342" t="s">
        <v>693</v>
      </c>
      <c r="M342" s="2">
        <v>90750000</v>
      </c>
      <c r="N342" s="2">
        <v>60236550</v>
      </c>
      <c r="O342" s="2">
        <v>90750000</v>
      </c>
      <c r="P342" s="2">
        <v>60236550</v>
      </c>
      <c r="Q342" s="1">
        <v>46387</v>
      </c>
      <c r="R342" s="1">
        <v>46387</v>
      </c>
      <c r="S342">
        <v>100</v>
      </c>
      <c r="V342">
        <v>25993550</v>
      </c>
      <c r="X342">
        <v>34243000</v>
      </c>
      <c r="AH342">
        <v>60236550</v>
      </c>
    </row>
    <row r="343" spans="1:34" x14ac:dyDescent="0.45">
      <c r="A343">
        <v>15694</v>
      </c>
      <c r="B343" t="s">
        <v>617</v>
      </c>
      <c r="C343" t="s">
        <v>36</v>
      </c>
      <c r="D343" t="s">
        <v>37</v>
      </c>
      <c r="E343" t="s">
        <v>38</v>
      </c>
      <c r="F343" t="s">
        <v>690</v>
      </c>
      <c r="G343">
        <v>2</v>
      </c>
      <c r="H343" t="s">
        <v>691</v>
      </c>
      <c r="I343" t="s">
        <v>692</v>
      </c>
      <c r="J343" t="s">
        <v>1133</v>
      </c>
      <c r="K343" t="s">
        <v>66</v>
      </c>
      <c r="L343" t="s">
        <v>694</v>
      </c>
      <c r="M343" s="2">
        <v>55000000</v>
      </c>
      <c r="N343" s="2">
        <v>36503775</v>
      </c>
      <c r="O343" s="2">
        <v>55000000</v>
      </c>
      <c r="P343" s="2">
        <v>36503775</v>
      </c>
      <c r="Q343" s="1">
        <v>46387</v>
      </c>
      <c r="R343" s="1">
        <v>46387</v>
      </c>
      <c r="S343">
        <v>100</v>
      </c>
      <c r="V343">
        <v>15752275</v>
      </c>
      <c r="X343">
        <v>20751500</v>
      </c>
      <c r="AH343">
        <v>36503775</v>
      </c>
    </row>
    <row r="344" spans="1:34" x14ac:dyDescent="0.45">
      <c r="A344">
        <v>15695</v>
      </c>
      <c r="B344" t="s">
        <v>617</v>
      </c>
      <c r="C344" t="s">
        <v>36</v>
      </c>
      <c r="D344" t="s">
        <v>37</v>
      </c>
      <c r="E344" t="s">
        <v>38</v>
      </c>
      <c r="F344" t="s">
        <v>695</v>
      </c>
      <c r="G344">
        <v>3</v>
      </c>
      <c r="H344" t="s">
        <v>696</v>
      </c>
      <c r="I344" t="s">
        <v>697</v>
      </c>
      <c r="J344" t="s">
        <v>1133</v>
      </c>
      <c r="K344" t="s">
        <v>146</v>
      </c>
      <c r="L344" t="s">
        <v>442</v>
      </c>
      <c r="M344" s="2">
        <v>325000000</v>
      </c>
      <c r="N344" s="2">
        <v>325000000</v>
      </c>
      <c r="O344" s="2">
        <v>325000000</v>
      </c>
      <c r="P344" s="2">
        <v>325000000</v>
      </c>
      <c r="Q344" s="1">
        <v>46142</v>
      </c>
      <c r="R344" s="1">
        <v>46171</v>
      </c>
      <c r="S344">
        <v>100</v>
      </c>
      <c r="X344">
        <v>325000000</v>
      </c>
      <c r="AH344">
        <v>325000000</v>
      </c>
    </row>
    <row r="345" spans="1:34" x14ac:dyDescent="0.45">
      <c r="A345">
        <v>15696</v>
      </c>
      <c r="B345" t="s">
        <v>617</v>
      </c>
      <c r="C345" t="s">
        <v>36</v>
      </c>
      <c r="D345" t="s">
        <v>37</v>
      </c>
      <c r="E345" t="s">
        <v>38</v>
      </c>
      <c r="F345" t="s">
        <v>698</v>
      </c>
      <c r="G345">
        <v>2</v>
      </c>
      <c r="H345" t="s">
        <v>699</v>
      </c>
      <c r="I345" t="s">
        <v>700</v>
      </c>
      <c r="J345" t="s">
        <v>1131</v>
      </c>
      <c r="K345" t="s">
        <v>66</v>
      </c>
      <c r="L345" t="s">
        <v>625</v>
      </c>
      <c r="M345" s="2">
        <v>1369350000</v>
      </c>
      <c r="N345" s="2">
        <v>42570000</v>
      </c>
      <c r="O345" s="2">
        <v>1369350000</v>
      </c>
      <c r="P345" s="2">
        <v>42570000</v>
      </c>
      <c r="Q345" s="1">
        <v>46171</v>
      </c>
      <c r="R345" s="1">
        <v>46171</v>
      </c>
      <c r="S345">
        <v>100</v>
      </c>
      <c r="V345">
        <v>42570000</v>
      </c>
      <c r="AH345">
        <v>42570000</v>
      </c>
    </row>
    <row r="346" spans="1:34" hidden="1" x14ac:dyDescent="0.45">
      <c r="A346">
        <v>15700</v>
      </c>
      <c r="B346" t="s">
        <v>574</v>
      </c>
      <c r="C346" t="s">
        <v>36</v>
      </c>
      <c r="D346" t="s">
        <v>37</v>
      </c>
      <c r="E346" t="s">
        <v>38</v>
      </c>
      <c r="F346" t="s">
        <v>701</v>
      </c>
      <c r="G346">
        <v>1</v>
      </c>
      <c r="H346" t="s">
        <v>702</v>
      </c>
      <c r="I346" t="s">
        <v>41</v>
      </c>
      <c r="J346" t="s">
        <v>1131</v>
      </c>
      <c r="K346" t="s">
        <v>42</v>
      </c>
      <c r="L346" t="s">
        <v>253</v>
      </c>
      <c r="M346" s="2">
        <v>90000000</v>
      </c>
      <c r="N346" s="2">
        <v>90000000</v>
      </c>
      <c r="O346" s="2">
        <v>36000000</v>
      </c>
      <c r="P346" s="2">
        <v>36000000</v>
      </c>
      <c r="Q346" s="1">
        <v>46353</v>
      </c>
      <c r="R346" s="1">
        <v>46416</v>
      </c>
      <c r="S346">
        <v>40</v>
      </c>
      <c r="X346">
        <v>36000000</v>
      </c>
      <c r="AH346">
        <v>36000000</v>
      </c>
    </row>
    <row r="347" spans="1:34" hidden="1" x14ac:dyDescent="0.45">
      <c r="A347">
        <v>15701</v>
      </c>
      <c r="B347" t="s">
        <v>574</v>
      </c>
      <c r="C347" t="s">
        <v>36</v>
      </c>
      <c r="D347" t="s">
        <v>37</v>
      </c>
      <c r="E347" t="s">
        <v>38</v>
      </c>
      <c r="F347" t="s">
        <v>701</v>
      </c>
      <c r="G347">
        <v>1</v>
      </c>
      <c r="H347" t="s">
        <v>702</v>
      </c>
      <c r="I347" t="s">
        <v>41</v>
      </c>
      <c r="J347" t="s">
        <v>1131</v>
      </c>
      <c r="K347" t="s">
        <v>42</v>
      </c>
      <c r="L347" t="s">
        <v>148</v>
      </c>
      <c r="M347" s="2">
        <v>90000000</v>
      </c>
      <c r="N347" s="2">
        <v>90000000</v>
      </c>
      <c r="O347" s="2">
        <v>36000000</v>
      </c>
      <c r="P347" s="2">
        <v>36000000</v>
      </c>
      <c r="Q347" s="1">
        <v>46353</v>
      </c>
      <c r="R347" s="1">
        <v>46387</v>
      </c>
      <c r="S347">
        <v>40</v>
      </c>
      <c r="X347">
        <v>36000000</v>
      </c>
      <c r="AH347">
        <v>36000000</v>
      </c>
    </row>
    <row r="348" spans="1:34" hidden="1" x14ac:dyDescent="0.45">
      <c r="A348">
        <v>15702</v>
      </c>
      <c r="B348" t="s">
        <v>574</v>
      </c>
      <c r="C348" t="s">
        <v>36</v>
      </c>
      <c r="D348" t="s">
        <v>37</v>
      </c>
      <c r="E348" t="s">
        <v>38</v>
      </c>
      <c r="F348" t="s">
        <v>701</v>
      </c>
      <c r="G348">
        <v>1</v>
      </c>
      <c r="H348" t="s">
        <v>702</v>
      </c>
      <c r="I348" t="s">
        <v>41</v>
      </c>
      <c r="J348" t="s">
        <v>1131</v>
      </c>
      <c r="K348" t="s">
        <v>42</v>
      </c>
      <c r="L348" t="s">
        <v>703</v>
      </c>
      <c r="M348" s="2">
        <v>90000000</v>
      </c>
      <c r="N348" s="2">
        <v>90000000</v>
      </c>
      <c r="O348" s="2">
        <v>36000000</v>
      </c>
      <c r="P348" s="2">
        <v>36000000</v>
      </c>
      <c r="Q348" s="1">
        <v>46353</v>
      </c>
      <c r="R348" s="1">
        <v>46598</v>
      </c>
      <c r="S348">
        <v>40</v>
      </c>
      <c r="X348">
        <v>36000000</v>
      </c>
      <c r="AH348">
        <v>36000000</v>
      </c>
    </row>
    <row r="349" spans="1:34" hidden="1" x14ac:dyDescent="0.45">
      <c r="A349">
        <v>15703</v>
      </c>
      <c r="B349" t="s">
        <v>574</v>
      </c>
      <c r="C349" t="s">
        <v>36</v>
      </c>
      <c r="D349" t="s">
        <v>37</v>
      </c>
      <c r="E349" t="s">
        <v>38</v>
      </c>
      <c r="F349" t="s">
        <v>701</v>
      </c>
      <c r="G349">
        <v>1</v>
      </c>
      <c r="H349" t="s">
        <v>702</v>
      </c>
      <c r="I349" t="s">
        <v>41</v>
      </c>
      <c r="J349" t="s">
        <v>1131</v>
      </c>
      <c r="K349" t="s">
        <v>42</v>
      </c>
      <c r="L349" t="s">
        <v>704</v>
      </c>
      <c r="M349" s="2">
        <v>30000000</v>
      </c>
      <c r="N349" s="2">
        <v>30000000</v>
      </c>
      <c r="O349" s="2">
        <v>12000000</v>
      </c>
      <c r="P349" s="2">
        <v>12000000</v>
      </c>
      <c r="Q349" s="1">
        <v>46353</v>
      </c>
      <c r="R349" s="1">
        <v>46721</v>
      </c>
      <c r="S349">
        <v>40</v>
      </c>
      <c r="X349">
        <v>12000000</v>
      </c>
      <c r="AH349">
        <v>12000000</v>
      </c>
    </row>
    <row r="350" spans="1:34" hidden="1" x14ac:dyDescent="0.45">
      <c r="A350">
        <v>15704</v>
      </c>
      <c r="B350" t="s">
        <v>574</v>
      </c>
      <c r="C350" t="s">
        <v>36</v>
      </c>
      <c r="D350" t="s">
        <v>37</v>
      </c>
      <c r="E350" t="s">
        <v>38</v>
      </c>
      <c r="F350" t="s">
        <v>705</v>
      </c>
      <c r="G350">
        <v>1</v>
      </c>
      <c r="H350" t="s">
        <v>706</v>
      </c>
      <c r="I350" t="s">
        <v>707</v>
      </c>
      <c r="J350" t="s">
        <v>1133</v>
      </c>
      <c r="K350" t="s">
        <v>42</v>
      </c>
      <c r="L350" t="s">
        <v>708</v>
      </c>
      <c r="M350" s="2">
        <v>125000000</v>
      </c>
      <c r="N350" s="2">
        <v>50000000</v>
      </c>
      <c r="O350" s="2">
        <v>50000000</v>
      </c>
      <c r="P350" s="2">
        <v>20000000</v>
      </c>
      <c r="Q350" s="1">
        <v>46356</v>
      </c>
      <c r="R350" s="1">
        <v>46356</v>
      </c>
      <c r="S350">
        <v>40</v>
      </c>
      <c r="X350">
        <v>20000000</v>
      </c>
      <c r="AH350">
        <v>20000000</v>
      </c>
    </row>
    <row r="351" spans="1:34" hidden="1" x14ac:dyDescent="0.45">
      <c r="A351">
        <v>15705</v>
      </c>
      <c r="B351" t="s">
        <v>574</v>
      </c>
      <c r="C351" t="s">
        <v>36</v>
      </c>
      <c r="D351" t="s">
        <v>37</v>
      </c>
      <c r="E351" t="s">
        <v>38</v>
      </c>
      <c r="F351" t="s">
        <v>705</v>
      </c>
      <c r="G351">
        <v>1</v>
      </c>
      <c r="H351" t="s">
        <v>706</v>
      </c>
      <c r="I351" t="s">
        <v>707</v>
      </c>
      <c r="J351" t="s">
        <v>1133</v>
      </c>
      <c r="K351" t="s">
        <v>42</v>
      </c>
      <c r="L351" t="s">
        <v>646</v>
      </c>
      <c r="M351" s="2">
        <v>125000000</v>
      </c>
      <c r="N351" s="2">
        <v>50000000</v>
      </c>
      <c r="O351" s="2">
        <v>50000000</v>
      </c>
      <c r="P351" s="2">
        <v>20000000</v>
      </c>
      <c r="Q351" s="1">
        <v>46356</v>
      </c>
      <c r="R351" s="1">
        <v>46477</v>
      </c>
      <c r="S351">
        <v>40</v>
      </c>
      <c r="X351">
        <v>20000000</v>
      </c>
      <c r="AH351">
        <v>20000000</v>
      </c>
    </row>
    <row r="352" spans="1:34" hidden="1" x14ac:dyDescent="0.45">
      <c r="A352">
        <v>15706</v>
      </c>
      <c r="B352" t="s">
        <v>448</v>
      </c>
      <c r="C352" t="s">
        <v>36</v>
      </c>
      <c r="D352" t="s">
        <v>37</v>
      </c>
      <c r="E352" t="s">
        <v>38</v>
      </c>
      <c r="F352" t="s">
        <v>709</v>
      </c>
      <c r="G352">
        <v>2</v>
      </c>
      <c r="H352" t="s">
        <v>710</v>
      </c>
      <c r="I352" t="s">
        <v>482</v>
      </c>
      <c r="J352" t="s">
        <v>1133</v>
      </c>
      <c r="K352" t="s">
        <v>66</v>
      </c>
      <c r="L352" t="s">
        <v>43</v>
      </c>
      <c r="M352" s="2">
        <v>89338500</v>
      </c>
      <c r="N352" s="2">
        <v>89338500</v>
      </c>
      <c r="O352" s="2">
        <v>44669250</v>
      </c>
      <c r="P352" s="2">
        <v>44669250</v>
      </c>
      <c r="Q352" s="1">
        <v>46203</v>
      </c>
      <c r="R352" s="1">
        <v>46234</v>
      </c>
      <c r="S352">
        <v>50</v>
      </c>
      <c r="X352">
        <v>44669250</v>
      </c>
      <c r="AH352">
        <v>44669250</v>
      </c>
    </row>
    <row r="353" spans="1:34" hidden="1" x14ac:dyDescent="0.45">
      <c r="A353">
        <v>15707</v>
      </c>
      <c r="B353" t="s">
        <v>448</v>
      </c>
      <c r="C353" t="s">
        <v>36</v>
      </c>
      <c r="D353" t="s">
        <v>37</v>
      </c>
      <c r="E353" t="s">
        <v>38</v>
      </c>
      <c r="F353" t="s">
        <v>709</v>
      </c>
      <c r="G353">
        <v>2</v>
      </c>
      <c r="H353" t="s">
        <v>710</v>
      </c>
      <c r="I353" t="s">
        <v>482</v>
      </c>
      <c r="J353" t="s">
        <v>1133</v>
      </c>
      <c r="K353" t="s">
        <v>66</v>
      </c>
      <c r="L353" t="s">
        <v>636</v>
      </c>
      <c r="M353" s="2">
        <v>89338500</v>
      </c>
      <c r="N353" s="2">
        <v>89338500</v>
      </c>
      <c r="O353" s="2">
        <v>44669250</v>
      </c>
      <c r="P353" s="2">
        <v>44669250</v>
      </c>
      <c r="Q353" s="1">
        <v>46203</v>
      </c>
      <c r="R353" s="1">
        <v>46326</v>
      </c>
      <c r="S353">
        <v>50</v>
      </c>
      <c r="X353">
        <v>44669250</v>
      </c>
      <c r="AH353">
        <v>44669250</v>
      </c>
    </row>
    <row r="354" spans="1:34" hidden="1" x14ac:dyDescent="0.45">
      <c r="A354">
        <v>15711</v>
      </c>
      <c r="B354" t="s">
        <v>526</v>
      </c>
      <c r="C354" t="s">
        <v>36</v>
      </c>
      <c r="D354" t="s">
        <v>37</v>
      </c>
      <c r="E354" t="s">
        <v>38</v>
      </c>
      <c r="F354" t="s">
        <v>711</v>
      </c>
      <c r="G354">
        <v>1</v>
      </c>
      <c r="H354" t="s">
        <v>712</v>
      </c>
      <c r="I354" t="s">
        <v>713</v>
      </c>
      <c r="J354" t="s">
        <v>1132</v>
      </c>
      <c r="K354" t="s">
        <v>42</v>
      </c>
      <c r="L354" t="s">
        <v>584</v>
      </c>
      <c r="M354" s="2">
        <v>50000000</v>
      </c>
      <c r="N354" s="2">
        <v>50000000</v>
      </c>
      <c r="O354" s="2">
        <v>15000000</v>
      </c>
      <c r="P354" s="2">
        <v>15000000</v>
      </c>
      <c r="Q354" s="1">
        <v>46325</v>
      </c>
      <c r="R354" s="1">
        <v>46353</v>
      </c>
      <c r="S354">
        <v>30</v>
      </c>
      <c r="X354">
        <v>15000000</v>
      </c>
      <c r="AH354">
        <v>15000000</v>
      </c>
    </row>
    <row r="355" spans="1:34" hidden="1" x14ac:dyDescent="0.45">
      <c r="A355">
        <v>15712</v>
      </c>
      <c r="B355" t="s">
        <v>526</v>
      </c>
      <c r="C355" t="s">
        <v>36</v>
      </c>
      <c r="D355" t="s">
        <v>37</v>
      </c>
      <c r="E355" t="s">
        <v>38</v>
      </c>
      <c r="F355" t="s">
        <v>711</v>
      </c>
      <c r="G355">
        <v>1</v>
      </c>
      <c r="H355" t="s">
        <v>712</v>
      </c>
      <c r="I355" t="s">
        <v>713</v>
      </c>
      <c r="J355" t="s">
        <v>1132</v>
      </c>
      <c r="K355" t="s">
        <v>42</v>
      </c>
      <c r="L355" t="s">
        <v>636</v>
      </c>
      <c r="M355" s="2">
        <v>50000000</v>
      </c>
      <c r="N355" s="2">
        <v>50000000</v>
      </c>
      <c r="O355" s="2">
        <v>15000000</v>
      </c>
      <c r="P355" s="2">
        <v>15000000</v>
      </c>
      <c r="Q355" s="1">
        <v>46325</v>
      </c>
      <c r="R355" s="1">
        <v>46444</v>
      </c>
      <c r="S355">
        <v>30</v>
      </c>
      <c r="X355">
        <v>15000000</v>
      </c>
      <c r="AH355">
        <v>15000000</v>
      </c>
    </row>
    <row r="356" spans="1:34" hidden="1" x14ac:dyDescent="0.45">
      <c r="A356">
        <v>15716</v>
      </c>
      <c r="B356" t="s">
        <v>574</v>
      </c>
      <c r="C356" t="s">
        <v>36</v>
      </c>
      <c r="D356" t="s">
        <v>37</v>
      </c>
      <c r="E356" t="s">
        <v>38</v>
      </c>
      <c r="F356" t="s">
        <v>714</v>
      </c>
      <c r="G356">
        <v>4</v>
      </c>
      <c r="H356" t="s">
        <v>715</v>
      </c>
      <c r="I356" t="s">
        <v>671</v>
      </c>
      <c r="J356" t="s">
        <v>1133</v>
      </c>
      <c r="K356" t="s">
        <v>51</v>
      </c>
      <c r="L356" t="s">
        <v>514</v>
      </c>
      <c r="M356" s="2">
        <v>350000000</v>
      </c>
      <c r="N356" s="2">
        <v>50000000</v>
      </c>
      <c r="O356" s="2">
        <v>105000000</v>
      </c>
      <c r="P356" s="2">
        <v>15000000</v>
      </c>
      <c r="Q356" s="1">
        <v>46203</v>
      </c>
      <c r="R356" s="1">
        <v>46325</v>
      </c>
      <c r="S356">
        <v>30</v>
      </c>
      <c r="V356">
        <v>15000000</v>
      </c>
      <c r="AH356">
        <v>15000000</v>
      </c>
    </row>
    <row r="357" spans="1:34" hidden="1" x14ac:dyDescent="0.45">
      <c r="A357">
        <v>15718</v>
      </c>
      <c r="B357" t="s">
        <v>454</v>
      </c>
      <c r="C357" t="s">
        <v>36</v>
      </c>
      <c r="D357" t="s">
        <v>37</v>
      </c>
      <c r="E357" t="s">
        <v>38</v>
      </c>
      <c r="F357" t="s">
        <v>716</v>
      </c>
      <c r="G357">
        <v>5</v>
      </c>
      <c r="H357" t="s">
        <v>717</v>
      </c>
      <c r="I357" t="s">
        <v>503</v>
      </c>
      <c r="J357" t="s">
        <v>1131</v>
      </c>
      <c r="K357" t="s">
        <v>210</v>
      </c>
      <c r="L357" t="s">
        <v>102</v>
      </c>
      <c r="M357" s="2">
        <v>495000000</v>
      </c>
      <c r="N357" s="2">
        <v>94860000</v>
      </c>
      <c r="O357" s="2">
        <v>247500000</v>
      </c>
      <c r="P357" s="2">
        <v>47430000</v>
      </c>
      <c r="Q357" s="1">
        <v>46161</v>
      </c>
      <c r="R357" s="1">
        <v>46188</v>
      </c>
      <c r="S357">
        <v>50</v>
      </c>
      <c r="U357">
        <v>-200070000</v>
      </c>
      <c r="X357">
        <v>247500000</v>
      </c>
      <c r="AH357">
        <v>47430000</v>
      </c>
    </row>
    <row r="358" spans="1:34" hidden="1" x14ac:dyDescent="0.45">
      <c r="A358">
        <v>15722</v>
      </c>
      <c r="B358" t="s">
        <v>448</v>
      </c>
      <c r="C358" t="s">
        <v>36</v>
      </c>
      <c r="D358" t="s">
        <v>37</v>
      </c>
      <c r="E358" t="s">
        <v>38</v>
      </c>
      <c r="F358" t="s">
        <v>718</v>
      </c>
      <c r="G358">
        <v>1</v>
      </c>
      <c r="H358" t="s">
        <v>556</v>
      </c>
      <c r="I358" t="s">
        <v>719</v>
      </c>
      <c r="J358" t="s">
        <v>1132</v>
      </c>
      <c r="K358" t="s">
        <v>42</v>
      </c>
      <c r="L358" t="s">
        <v>43</v>
      </c>
      <c r="M358" s="2">
        <v>50000000</v>
      </c>
      <c r="N358" s="2">
        <v>50000000</v>
      </c>
      <c r="O358" s="2">
        <v>25000000</v>
      </c>
      <c r="P358" s="2">
        <v>25000000</v>
      </c>
      <c r="Q358" s="1">
        <v>46265</v>
      </c>
      <c r="R358" s="1">
        <v>46265</v>
      </c>
      <c r="S358">
        <v>50</v>
      </c>
      <c r="X358">
        <v>25000000</v>
      </c>
      <c r="AH358">
        <v>25000000</v>
      </c>
    </row>
    <row r="359" spans="1:34" hidden="1" x14ac:dyDescent="0.45">
      <c r="A359">
        <v>15723</v>
      </c>
      <c r="B359" t="s">
        <v>448</v>
      </c>
      <c r="C359" t="s">
        <v>36</v>
      </c>
      <c r="D359" t="s">
        <v>37</v>
      </c>
      <c r="E359" t="s">
        <v>38</v>
      </c>
      <c r="F359" t="s">
        <v>718</v>
      </c>
      <c r="G359">
        <v>1</v>
      </c>
      <c r="H359" t="s">
        <v>556</v>
      </c>
      <c r="I359" t="s">
        <v>719</v>
      </c>
      <c r="J359" t="s">
        <v>1132</v>
      </c>
      <c r="K359" t="s">
        <v>42</v>
      </c>
      <c r="L359" t="s">
        <v>636</v>
      </c>
      <c r="M359" s="2">
        <v>50000000</v>
      </c>
      <c r="N359" s="2">
        <v>50000000</v>
      </c>
      <c r="O359" s="2">
        <v>25000000</v>
      </c>
      <c r="P359" s="2">
        <v>25000000</v>
      </c>
      <c r="Q359" s="1">
        <v>46265</v>
      </c>
      <c r="R359" s="1">
        <v>46326</v>
      </c>
      <c r="S359">
        <v>50</v>
      </c>
      <c r="X359">
        <v>25000000</v>
      </c>
      <c r="AH359">
        <v>25000000</v>
      </c>
    </row>
    <row r="360" spans="1:34" hidden="1" x14ac:dyDescent="0.45">
      <c r="A360">
        <v>15730</v>
      </c>
      <c r="B360" t="s">
        <v>448</v>
      </c>
      <c r="C360" t="s">
        <v>36</v>
      </c>
      <c r="D360" t="s">
        <v>37</v>
      </c>
      <c r="E360" t="s">
        <v>38</v>
      </c>
      <c r="F360" t="s">
        <v>720</v>
      </c>
      <c r="G360">
        <v>2</v>
      </c>
      <c r="H360" t="s">
        <v>282</v>
      </c>
      <c r="I360" t="s">
        <v>165</v>
      </c>
      <c r="J360" t="s">
        <v>1133</v>
      </c>
      <c r="K360" t="s">
        <v>66</v>
      </c>
      <c r="L360" t="s">
        <v>284</v>
      </c>
      <c r="M360" s="2">
        <v>1240350000</v>
      </c>
      <c r="N360" s="2">
        <v>617028887.64999998</v>
      </c>
      <c r="O360" s="2">
        <v>620175000</v>
      </c>
      <c r="P360" s="2">
        <v>308514443.82999998</v>
      </c>
      <c r="Q360" s="1">
        <v>46295</v>
      </c>
      <c r="R360" s="1">
        <v>46295</v>
      </c>
      <c r="S360">
        <v>50</v>
      </c>
      <c r="V360">
        <v>207581611.83000001</v>
      </c>
      <c r="X360">
        <v>100932832</v>
      </c>
      <c r="AH360">
        <v>308514443.82999998</v>
      </c>
    </row>
    <row r="361" spans="1:34" hidden="1" x14ac:dyDescent="0.45">
      <c r="A361">
        <v>15731</v>
      </c>
      <c r="B361" t="s">
        <v>448</v>
      </c>
      <c r="C361" t="s">
        <v>36</v>
      </c>
      <c r="D361" t="s">
        <v>37</v>
      </c>
      <c r="E361" t="s">
        <v>38</v>
      </c>
      <c r="F361" t="s">
        <v>720</v>
      </c>
      <c r="G361">
        <v>2</v>
      </c>
      <c r="H361" t="s">
        <v>282</v>
      </c>
      <c r="I361" t="s">
        <v>165</v>
      </c>
      <c r="J361" t="s">
        <v>1133</v>
      </c>
      <c r="K361" t="s">
        <v>66</v>
      </c>
      <c r="L361" t="s">
        <v>721</v>
      </c>
      <c r="M361" s="2">
        <v>185360000</v>
      </c>
      <c r="N361" s="2">
        <v>92200565.989999995</v>
      </c>
      <c r="O361" s="2">
        <v>92680000</v>
      </c>
      <c r="P361" s="2">
        <v>46100282.990000002</v>
      </c>
      <c r="Q361" s="1">
        <v>46295</v>
      </c>
      <c r="R361" s="1">
        <v>46356</v>
      </c>
      <c r="S361">
        <v>50</v>
      </c>
      <c r="V361">
        <v>31018226.989999998</v>
      </c>
      <c r="X361">
        <v>15082056</v>
      </c>
      <c r="AH361">
        <v>46100282.990000002</v>
      </c>
    </row>
    <row r="362" spans="1:34" hidden="1" x14ac:dyDescent="0.45">
      <c r="A362">
        <v>15732</v>
      </c>
      <c r="B362" t="s">
        <v>448</v>
      </c>
      <c r="C362" t="s">
        <v>36</v>
      </c>
      <c r="D362" t="s">
        <v>37</v>
      </c>
      <c r="E362" t="s">
        <v>38</v>
      </c>
      <c r="F362" t="s">
        <v>720</v>
      </c>
      <c r="G362">
        <v>2</v>
      </c>
      <c r="H362" t="s">
        <v>282</v>
      </c>
      <c r="I362" t="s">
        <v>165</v>
      </c>
      <c r="J362" t="s">
        <v>1133</v>
      </c>
      <c r="K362" t="s">
        <v>66</v>
      </c>
      <c r="L362" t="s">
        <v>722</v>
      </c>
      <c r="M362" s="2">
        <v>13940000</v>
      </c>
      <c r="N362" s="2">
        <v>6927940.21</v>
      </c>
      <c r="O362" s="2">
        <v>6970000</v>
      </c>
      <c r="P362" s="2">
        <v>3463970.11</v>
      </c>
      <c r="Q362" s="1">
        <v>46295</v>
      </c>
      <c r="R362" s="1">
        <v>46387</v>
      </c>
      <c r="S362">
        <v>50</v>
      </c>
      <c r="V362">
        <v>2330706.11</v>
      </c>
      <c r="X362">
        <v>1133264</v>
      </c>
      <c r="AH362">
        <v>3463970.11</v>
      </c>
    </row>
    <row r="363" spans="1:34" hidden="1" x14ac:dyDescent="0.45">
      <c r="A363">
        <v>15733</v>
      </c>
      <c r="B363" t="s">
        <v>448</v>
      </c>
      <c r="C363" t="s">
        <v>36</v>
      </c>
      <c r="D363" t="s">
        <v>37</v>
      </c>
      <c r="E363" t="s">
        <v>38</v>
      </c>
      <c r="F363" t="s">
        <v>720</v>
      </c>
      <c r="G363">
        <v>2</v>
      </c>
      <c r="H363" t="s">
        <v>282</v>
      </c>
      <c r="I363" t="s">
        <v>165</v>
      </c>
      <c r="J363" t="s">
        <v>1133</v>
      </c>
      <c r="K363" t="s">
        <v>66</v>
      </c>
      <c r="L363" t="s">
        <v>723</v>
      </c>
      <c r="M363" s="2">
        <v>13940000</v>
      </c>
      <c r="N363" s="2">
        <v>6927940.21</v>
      </c>
      <c r="O363" s="2">
        <v>6970000</v>
      </c>
      <c r="P363" s="2">
        <v>3463970.11</v>
      </c>
      <c r="Q363" s="1">
        <v>46295</v>
      </c>
      <c r="R363" s="1">
        <v>46477</v>
      </c>
      <c r="S363">
        <v>50</v>
      </c>
      <c r="V363">
        <v>2330706.11</v>
      </c>
      <c r="X363">
        <v>1133264</v>
      </c>
      <c r="AH363">
        <v>3463970.11</v>
      </c>
    </row>
    <row r="364" spans="1:34" hidden="1" x14ac:dyDescent="0.45">
      <c r="A364">
        <v>15734</v>
      </c>
      <c r="B364" t="s">
        <v>448</v>
      </c>
      <c r="C364" t="s">
        <v>36</v>
      </c>
      <c r="D364" t="s">
        <v>37</v>
      </c>
      <c r="E364" t="s">
        <v>38</v>
      </c>
      <c r="F364" t="s">
        <v>720</v>
      </c>
      <c r="G364">
        <v>2</v>
      </c>
      <c r="H364" t="s">
        <v>282</v>
      </c>
      <c r="I364" t="s">
        <v>165</v>
      </c>
      <c r="J364" t="s">
        <v>1133</v>
      </c>
      <c r="K364" t="s">
        <v>66</v>
      </c>
      <c r="L364" t="s">
        <v>724</v>
      </c>
      <c r="M364" s="2">
        <v>13940000</v>
      </c>
      <c r="N364" s="2">
        <v>6927940.21</v>
      </c>
      <c r="O364" s="2">
        <v>6970000</v>
      </c>
      <c r="P364" s="2">
        <v>3463970.11</v>
      </c>
      <c r="Q364" s="1">
        <v>46295</v>
      </c>
      <c r="R364" s="1">
        <v>46568</v>
      </c>
      <c r="S364">
        <v>50</v>
      </c>
      <c r="V364">
        <v>2330706.11</v>
      </c>
      <c r="X364">
        <v>1133264</v>
      </c>
      <c r="AH364">
        <v>3463970.11</v>
      </c>
    </row>
    <row r="365" spans="1:34" hidden="1" x14ac:dyDescent="0.45">
      <c r="A365">
        <v>15735</v>
      </c>
      <c r="B365" t="s">
        <v>448</v>
      </c>
      <c r="C365" t="s">
        <v>36</v>
      </c>
      <c r="D365" t="s">
        <v>37</v>
      </c>
      <c r="E365" t="s">
        <v>38</v>
      </c>
      <c r="F365" t="s">
        <v>720</v>
      </c>
      <c r="G365">
        <v>2</v>
      </c>
      <c r="H365" t="s">
        <v>282</v>
      </c>
      <c r="I365" t="s">
        <v>165</v>
      </c>
      <c r="J365" t="s">
        <v>1133</v>
      </c>
      <c r="K365" t="s">
        <v>66</v>
      </c>
      <c r="L365" t="s">
        <v>725</v>
      </c>
      <c r="M365" s="2">
        <v>13940000</v>
      </c>
      <c r="N365" s="2">
        <v>6927940.21</v>
      </c>
      <c r="O365" s="2">
        <v>6970000</v>
      </c>
      <c r="P365" s="2">
        <v>3463970.11</v>
      </c>
      <c r="Q365" s="1">
        <v>46295</v>
      </c>
      <c r="R365" s="1">
        <v>46660</v>
      </c>
      <c r="S365">
        <v>50</v>
      </c>
      <c r="V365">
        <v>2330706.11</v>
      </c>
      <c r="X365">
        <v>1133264</v>
      </c>
      <c r="AH365">
        <v>3463970.11</v>
      </c>
    </row>
    <row r="366" spans="1:34" hidden="1" x14ac:dyDescent="0.45">
      <c r="A366">
        <v>15742</v>
      </c>
      <c r="B366" t="s">
        <v>448</v>
      </c>
      <c r="C366" t="s">
        <v>36</v>
      </c>
      <c r="D366" t="s">
        <v>37</v>
      </c>
      <c r="E366" t="s">
        <v>38</v>
      </c>
      <c r="F366" t="s">
        <v>726</v>
      </c>
      <c r="G366">
        <v>1</v>
      </c>
      <c r="H366" t="s">
        <v>727</v>
      </c>
      <c r="I366" t="s">
        <v>165</v>
      </c>
      <c r="J366" t="s">
        <v>1133</v>
      </c>
      <c r="K366" t="s">
        <v>42</v>
      </c>
      <c r="L366" t="s">
        <v>284</v>
      </c>
      <c r="M366" s="2">
        <v>2377750000</v>
      </c>
      <c r="N366" s="2">
        <v>1103298308</v>
      </c>
      <c r="O366" s="2">
        <v>1188875000</v>
      </c>
      <c r="P366" s="2">
        <v>551649154</v>
      </c>
      <c r="Q366" s="1">
        <v>46295</v>
      </c>
      <c r="R366" s="1">
        <v>46326</v>
      </c>
      <c r="S366">
        <v>50</v>
      </c>
      <c r="V366">
        <v>343124306</v>
      </c>
      <c r="X366">
        <v>208524848</v>
      </c>
      <c r="AH366">
        <v>551649154</v>
      </c>
    </row>
    <row r="367" spans="1:34" hidden="1" x14ac:dyDescent="0.45">
      <c r="A367">
        <v>15743</v>
      </c>
      <c r="B367" t="s">
        <v>448</v>
      </c>
      <c r="C367" t="s">
        <v>36</v>
      </c>
      <c r="D367" t="s">
        <v>37</v>
      </c>
      <c r="E367" t="s">
        <v>38</v>
      </c>
      <c r="F367" t="s">
        <v>726</v>
      </c>
      <c r="G367">
        <v>1</v>
      </c>
      <c r="H367" t="s">
        <v>727</v>
      </c>
      <c r="I367" t="s">
        <v>165</v>
      </c>
      <c r="J367" t="s">
        <v>1133</v>
      </c>
      <c r="K367" t="s">
        <v>42</v>
      </c>
      <c r="L367" t="s">
        <v>728</v>
      </c>
      <c r="M367" s="2">
        <v>135000000</v>
      </c>
      <c r="N367" s="2">
        <v>62617464</v>
      </c>
      <c r="O367" s="2">
        <v>67500000</v>
      </c>
      <c r="P367" s="2">
        <v>31308732</v>
      </c>
      <c r="Q367" s="1">
        <v>46295</v>
      </c>
      <c r="R367" s="1">
        <v>46356</v>
      </c>
      <c r="S367">
        <v>50</v>
      </c>
      <c r="V367">
        <v>19473948</v>
      </c>
      <c r="X367">
        <v>11834784</v>
      </c>
      <c r="AH367">
        <v>31308732</v>
      </c>
    </row>
    <row r="368" spans="1:34" hidden="1" x14ac:dyDescent="0.45">
      <c r="A368">
        <v>15744</v>
      </c>
      <c r="B368" t="s">
        <v>448</v>
      </c>
      <c r="C368" t="s">
        <v>36</v>
      </c>
      <c r="D368" t="s">
        <v>37</v>
      </c>
      <c r="E368" t="s">
        <v>38</v>
      </c>
      <c r="F368" t="s">
        <v>726</v>
      </c>
      <c r="G368">
        <v>1</v>
      </c>
      <c r="H368" t="s">
        <v>727</v>
      </c>
      <c r="I368" t="s">
        <v>165</v>
      </c>
      <c r="J368" t="s">
        <v>1133</v>
      </c>
      <c r="K368" t="s">
        <v>42</v>
      </c>
      <c r="L368" t="s">
        <v>729</v>
      </c>
      <c r="M368" s="2">
        <v>180000000</v>
      </c>
      <c r="N368" s="2">
        <v>83489952</v>
      </c>
      <c r="O368" s="2">
        <v>90000000</v>
      </c>
      <c r="P368" s="2">
        <v>41744976</v>
      </c>
      <c r="Q368" s="1">
        <v>46295</v>
      </c>
      <c r="R368" s="1">
        <v>46387</v>
      </c>
      <c r="S368">
        <v>50</v>
      </c>
      <c r="V368">
        <v>25965264</v>
      </c>
      <c r="X368">
        <v>15779712</v>
      </c>
      <c r="AH368">
        <v>41744976</v>
      </c>
    </row>
    <row r="369" spans="1:34" hidden="1" x14ac:dyDescent="0.45">
      <c r="A369">
        <v>15745</v>
      </c>
      <c r="B369" t="s">
        <v>448</v>
      </c>
      <c r="C369" t="s">
        <v>36</v>
      </c>
      <c r="D369" t="s">
        <v>37</v>
      </c>
      <c r="E369" t="s">
        <v>38</v>
      </c>
      <c r="F369" t="s">
        <v>726</v>
      </c>
      <c r="G369">
        <v>1</v>
      </c>
      <c r="H369" t="s">
        <v>727</v>
      </c>
      <c r="I369" t="s">
        <v>165</v>
      </c>
      <c r="J369" t="s">
        <v>1133</v>
      </c>
      <c r="K369" t="s">
        <v>42</v>
      </c>
      <c r="L369" t="s">
        <v>730</v>
      </c>
      <c r="M369" s="2">
        <v>135000000</v>
      </c>
      <c r="N369" s="2">
        <v>62617464</v>
      </c>
      <c r="O369" s="2">
        <v>67500000</v>
      </c>
      <c r="P369" s="2">
        <v>31308732</v>
      </c>
      <c r="Q369" s="1">
        <v>46295</v>
      </c>
      <c r="R369" s="1">
        <v>46418</v>
      </c>
      <c r="S369">
        <v>50</v>
      </c>
      <c r="V369">
        <v>19473948</v>
      </c>
      <c r="X369">
        <v>11834784</v>
      </c>
      <c r="AH369">
        <v>31308732</v>
      </c>
    </row>
    <row r="370" spans="1:34" hidden="1" x14ac:dyDescent="0.45">
      <c r="A370">
        <v>15746</v>
      </c>
      <c r="B370" t="s">
        <v>448</v>
      </c>
      <c r="C370" t="s">
        <v>36</v>
      </c>
      <c r="D370" t="s">
        <v>37</v>
      </c>
      <c r="E370" t="s">
        <v>38</v>
      </c>
      <c r="F370" t="s">
        <v>726</v>
      </c>
      <c r="G370">
        <v>1</v>
      </c>
      <c r="H370" t="s">
        <v>727</v>
      </c>
      <c r="I370" t="s">
        <v>165</v>
      </c>
      <c r="J370" t="s">
        <v>1133</v>
      </c>
      <c r="K370" t="s">
        <v>42</v>
      </c>
      <c r="L370" t="s">
        <v>722</v>
      </c>
      <c r="M370" s="2">
        <v>13940000</v>
      </c>
      <c r="N370" s="2">
        <v>6422304</v>
      </c>
      <c r="O370" s="2">
        <v>6970000</v>
      </c>
      <c r="P370" s="2">
        <v>3211152</v>
      </c>
      <c r="Q370" s="1">
        <v>46295</v>
      </c>
      <c r="R370" s="1">
        <v>46507</v>
      </c>
      <c r="S370">
        <v>50</v>
      </c>
      <c r="V370">
        <v>1997328</v>
      </c>
      <c r="X370">
        <v>1213824</v>
      </c>
      <c r="AH370">
        <v>3211152</v>
      </c>
    </row>
    <row r="371" spans="1:34" hidden="1" x14ac:dyDescent="0.45">
      <c r="A371">
        <v>15747</v>
      </c>
      <c r="B371" t="s">
        <v>448</v>
      </c>
      <c r="C371" t="s">
        <v>36</v>
      </c>
      <c r="D371" t="s">
        <v>37</v>
      </c>
      <c r="E371" t="s">
        <v>38</v>
      </c>
      <c r="F371" t="s">
        <v>726</v>
      </c>
      <c r="G371">
        <v>1</v>
      </c>
      <c r="H371" t="s">
        <v>727</v>
      </c>
      <c r="I371" t="s">
        <v>165</v>
      </c>
      <c r="J371" t="s">
        <v>1133</v>
      </c>
      <c r="K371" t="s">
        <v>42</v>
      </c>
      <c r="L371" t="s">
        <v>723</v>
      </c>
      <c r="M371" s="2">
        <v>13940000</v>
      </c>
      <c r="N371" s="2">
        <v>6422304</v>
      </c>
      <c r="O371" s="2">
        <v>6970000</v>
      </c>
      <c r="P371" s="2">
        <v>3211152</v>
      </c>
      <c r="Q371" s="1">
        <v>46295</v>
      </c>
      <c r="R371" s="1">
        <v>46599</v>
      </c>
      <c r="S371">
        <v>50</v>
      </c>
      <c r="V371">
        <v>1997328</v>
      </c>
      <c r="X371">
        <v>1213824</v>
      </c>
      <c r="AH371">
        <v>3211152</v>
      </c>
    </row>
    <row r="372" spans="1:34" hidden="1" x14ac:dyDescent="0.45">
      <c r="A372">
        <v>15748</v>
      </c>
      <c r="B372" t="s">
        <v>448</v>
      </c>
      <c r="C372" t="s">
        <v>36</v>
      </c>
      <c r="D372" t="s">
        <v>37</v>
      </c>
      <c r="E372" t="s">
        <v>38</v>
      </c>
      <c r="F372" t="s">
        <v>726</v>
      </c>
      <c r="G372">
        <v>1</v>
      </c>
      <c r="H372" t="s">
        <v>727</v>
      </c>
      <c r="I372" t="s">
        <v>165</v>
      </c>
      <c r="J372" t="s">
        <v>1133</v>
      </c>
      <c r="K372" t="s">
        <v>42</v>
      </c>
      <c r="L372" t="s">
        <v>724</v>
      </c>
      <c r="M372" s="2">
        <v>13940000</v>
      </c>
      <c r="N372" s="2">
        <v>6422304</v>
      </c>
      <c r="O372" s="2">
        <v>6970000</v>
      </c>
      <c r="P372" s="2">
        <v>3211152</v>
      </c>
      <c r="Q372" s="1">
        <v>46295</v>
      </c>
      <c r="R372" s="1">
        <v>46690</v>
      </c>
      <c r="S372">
        <v>50</v>
      </c>
      <c r="V372">
        <v>1997328</v>
      </c>
      <c r="X372">
        <v>1213824</v>
      </c>
      <c r="AH372">
        <v>3211152</v>
      </c>
    </row>
    <row r="373" spans="1:34" hidden="1" x14ac:dyDescent="0.45">
      <c r="A373">
        <v>15749</v>
      </c>
      <c r="B373" t="s">
        <v>448</v>
      </c>
      <c r="C373" t="s">
        <v>36</v>
      </c>
      <c r="D373" t="s">
        <v>37</v>
      </c>
      <c r="E373" t="s">
        <v>38</v>
      </c>
      <c r="F373" t="s">
        <v>726</v>
      </c>
      <c r="G373">
        <v>1</v>
      </c>
      <c r="H373" t="s">
        <v>727</v>
      </c>
      <c r="I373" t="s">
        <v>165</v>
      </c>
      <c r="J373" t="s">
        <v>1133</v>
      </c>
      <c r="K373" t="s">
        <v>42</v>
      </c>
      <c r="L373" t="s">
        <v>725</v>
      </c>
      <c r="M373" s="2">
        <v>13940000</v>
      </c>
      <c r="N373" s="2">
        <v>6422304</v>
      </c>
      <c r="O373" s="2">
        <v>6970000</v>
      </c>
      <c r="P373" s="2">
        <v>3211152</v>
      </c>
      <c r="Q373" s="1">
        <v>46295</v>
      </c>
      <c r="R373" s="1">
        <v>46783</v>
      </c>
      <c r="S373">
        <v>50</v>
      </c>
      <c r="V373">
        <v>1997328</v>
      </c>
      <c r="X373">
        <v>1213824</v>
      </c>
      <c r="AH373">
        <v>3211152</v>
      </c>
    </row>
    <row r="374" spans="1:34" hidden="1" x14ac:dyDescent="0.45">
      <c r="A374">
        <v>15750</v>
      </c>
      <c r="B374" t="s">
        <v>574</v>
      </c>
      <c r="C374" t="s">
        <v>36</v>
      </c>
      <c r="D374" t="s">
        <v>37</v>
      </c>
      <c r="E374" t="s">
        <v>38</v>
      </c>
      <c r="F374" t="s">
        <v>731</v>
      </c>
      <c r="G374">
        <v>1</v>
      </c>
      <c r="H374" t="s">
        <v>732</v>
      </c>
      <c r="I374" t="s">
        <v>41</v>
      </c>
      <c r="J374" t="s">
        <v>1131</v>
      </c>
      <c r="K374" t="s">
        <v>42</v>
      </c>
      <c r="L374" t="s">
        <v>147</v>
      </c>
      <c r="M374" s="2">
        <v>80000000</v>
      </c>
      <c r="N374" s="2">
        <v>80000000</v>
      </c>
      <c r="O374" s="2">
        <v>32000000</v>
      </c>
      <c r="P374" s="2">
        <v>32000000</v>
      </c>
      <c r="Q374" s="1">
        <v>46203</v>
      </c>
      <c r="R374" s="1">
        <v>46393</v>
      </c>
      <c r="S374">
        <v>40</v>
      </c>
      <c r="X374">
        <v>32000000</v>
      </c>
      <c r="AH374">
        <v>32000000</v>
      </c>
    </row>
    <row r="375" spans="1:34" hidden="1" x14ac:dyDescent="0.45">
      <c r="A375">
        <v>15754</v>
      </c>
      <c r="B375" t="s">
        <v>454</v>
      </c>
      <c r="C375" t="s">
        <v>36</v>
      </c>
      <c r="D375" t="s">
        <v>37</v>
      </c>
      <c r="E375" t="s">
        <v>38</v>
      </c>
      <c r="F375" t="s">
        <v>733</v>
      </c>
      <c r="G375">
        <v>2</v>
      </c>
      <c r="H375" t="s">
        <v>734</v>
      </c>
      <c r="I375" t="s">
        <v>503</v>
      </c>
      <c r="J375" t="s">
        <v>1131</v>
      </c>
      <c r="K375" t="s">
        <v>66</v>
      </c>
      <c r="L375" t="s">
        <v>735</v>
      </c>
      <c r="M375" s="2">
        <v>81000000</v>
      </c>
      <c r="N375" s="2">
        <v>56570400</v>
      </c>
      <c r="O375" s="2">
        <v>40500000</v>
      </c>
      <c r="P375" s="2">
        <v>28285200</v>
      </c>
      <c r="Q375" s="1">
        <v>46246</v>
      </c>
      <c r="R375" s="1">
        <v>46265</v>
      </c>
      <c r="S375">
        <v>50</v>
      </c>
      <c r="U375">
        <v>-22744800</v>
      </c>
      <c r="X375">
        <v>51030000</v>
      </c>
      <c r="AH375">
        <v>28285200</v>
      </c>
    </row>
    <row r="376" spans="1:34" hidden="1" x14ac:dyDescent="0.45">
      <c r="A376">
        <v>15755</v>
      </c>
      <c r="B376" t="s">
        <v>454</v>
      </c>
      <c r="C376" t="s">
        <v>36</v>
      </c>
      <c r="D376" t="s">
        <v>37</v>
      </c>
      <c r="E376" t="s">
        <v>38</v>
      </c>
      <c r="F376" t="s">
        <v>733</v>
      </c>
      <c r="G376">
        <v>2</v>
      </c>
      <c r="H376" t="s">
        <v>734</v>
      </c>
      <c r="I376" t="s">
        <v>503</v>
      </c>
      <c r="J376" t="s">
        <v>1131</v>
      </c>
      <c r="K376" t="s">
        <v>66</v>
      </c>
      <c r="L376" t="s">
        <v>736</v>
      </c>
      <c r="M376" s="2">
        <v>54000000</v>
      </c>
      <c r="N376" s="2">
        <v>37713600</v>
      </c>
      <c r="O376" s="2">
        <v>27000000</v>
      </c>
      <c r="P376" s="2">
        <v>18856800</v>
      </c>
      <c r="Q376" s="1">
        <v>46246</v>
      </c>
      <c r="R376" s="1">
        <v>46345</v>
      </c>
      <c r="S376">
        <v>50</v>
      </c>
      <c r="U376">
        <v>-15163200</v>
      </c>
      <c r="X376">
        <v>34020000</v>
      </c>
      <c r="AH376">
        <v>18856800</v>
      </c>
    </row>
    <row r="377" spans="1:34" hidden="1" x14ac:dyDescent="0.45">
      <c r="A377">
        <v>15757</v>
      </c>
      <c r="B377" t="s">
        <v>515</v>
      </c>
      <c r="C377" t="s">
        <v>36</v>
      </c>
      <c r="D377" t="s">
        <v>37</v>
      </c>
      <c r="E377" t="s">
        <v>38</v>
      </c>
      <c r="F377" t="s">
        <v>737</v>
      </c>
      <c r="G377">
        <v>2</v>
      </c>
      <c r="H377" t="s">
        <v>738</v>
      </c>
      <c r="I377" t="s">
        <v>594</v>
      </c>
      <c r="J377" t="s">
        <v>1133</v>
      </c>
      <c r="K377" t="s">
        <v>66</v>
      </c>
      <c r="L377" t="s">
        <v>518</v>
      </c>
      <c r="M377" s="2">
        <v>350000000</v>
      </c>
      <c r="N377" s="2">
        <v>50000000</v>
      </c>
      <c r="O377" s="2">
        <v>175000000</v>
      </c>
      <c r="P377" s="2">
        <v>25000000</v>
      </c>
      <c r="Q377" s="1">
        <v>46387</v>
      </c>
      <c r="R377" s="1">
        <v>46387</v>
      </c>
      <c r="S377">
        <v>50</v>
      </c>
      <c r="V377">
        <v>25000000</v>
      </c>
      <c r="AH377">
        <v>25000000</v>
      </c>
    </row>
    <row r="378" spans="1:34" hidden="1" x14ac:dyDescent="0.45">
      <c r="A378">
        <v>15758</v>
      </c>
      <c r="B378" t="s">
        <v>515</v>
      </c>
      <c r="C378" t="s">
        <v>36</v>
      </c>
      <c r="D378" t="s">
        <v>37</v>
      </c>
      <c r="E378" t="s">
        <v>38</v>
      </c>
      <c r="F378" t="s">
        <v>739</v>
      </c>
      <c r="G378">
        <v>4</v>
      </c>
      <c r="H378" t="s">
        <v>740</v>
      </c>
      <c r="I378" t="s">
        <v>594</v>
      </c>
      <c r="J378" t="s">
        <v>1133</v>
      </c>
      <c r="K378" t="s">
        <v>51</v>
      </c>
      <c r="L378" t="s">
        <v>678</v>
      </c>
      <c r="M378" s="2">
        <v>350000000</v>
      </c>
      <c r="N378" s="2">
        <v>104244000</v>
      </c>
      <c r="O378" s="2">
        <v>245000000</v>
      </c>
      <c r="P378" s="2">
        <v>72970800</v>
      </c>
      <c r="Q378" s="1">
        <v>46173</v>
      </c>
      <c r="R378" s="1">
        <v>46203</v>
      </c>
      <c r="S378">
        <v>70</v>
      </c>
      <c r="V378">
        <v>10424400</v>
      </c>
      <c r="X378">
        <v>62546400</v>
      </c>
      <c r="AH378">
        <v>72970800</v>
      </c>
    </row>
    <row r="379" spans="1:34" hidden="1" x14ac:dyDescent="0.45">
      <c r="A379">
        <v>15759</v>
      </c>
      <c r="B379" t="s">
        <v>515</v>
      </c>
      <c r="C379" t="s">
        <v>36</v>
      </c>
      <c r="D379" t="s">
        <v>37</v>
      </c>
      <c r="E379" t="s">
        <v>38</v>
      </c>
      <c r="F379" t="s">
        <v>739</v>
      </c>
      <c r="G379">
        <v>4</v>
      </c>
      <c r="H379" t="s">
        <v>740</v>
      </c>
      <c r="I379" t="s">
        <v>594</v>
      </c>
      <c r="J379" t="s">
        <v>1133</v>
      </c>
      <c r="K379" t="s">
        <v>51</v>
      </c>
      <c r="L379" t="s">
        <v>741</v>
      </c>
      <c r="M379" s="2">
        <v>80000000</v>
      </c>
      <c r="N379" s="2">
        <v>23828000</v>
      </c>
      <c r="O379" s="2">
        <v>56000000</v>
      </c>
      <c r="P379" s="2">
        <v>16679600</v>
      </c>
      <c r="Q379" s="1">
        <v>46173</v>
      </c>
      <c r="R379" s="1">
        <v>46265</v>
      </c>
      <c r="S379">
        <v>70</v>
      </c>
      <c r="V379">
        <v>2382800</v>
      </c>
      <c r="X379">
        <v>14296800</v>
      </c>
      <c r="AH379">
        <v>16679600</v>
      </c>
    </row>
    <row r="380" spans="1:34" x14ac:dyDescent="0.45">
      <c r="A380">
        <v>15762</v>
      </c>
      <c r="B380" t="s">
        <v>617</v>
      </c>
      <c r="C380" t="s">
        <v>36</v>
      </c>
      <c r="D380" t="s">
        <v>37</v>
      </c>
      <c r="E380" t="s">
        <v>38</v>
      </c>
      <c r="F380" t="s">
        <v>742</v>
      </c>
      <c r="G380">
        <v>1</v>
      </c>
      <c r="H380" t="s">
        <v>743</v>
      </c>
      <c r="I380" t="s">
        <v>744</v>
      </c>
      <c r="J380" t="s">
        <v>1132</v>
      </c>
      <c r="K380" t="s">
        <v>42</v>
      </c>
      <c r="L380" t="s">
        <v>442</v>
      </c>
      <c r="M380" s="2">
        <v>1100000000</v>
      </c>
      <c r="N380" s="2">
        <v>100000000</v>
      </c>
      <c r="O380" s="2">
        <v>550000000</v>
      </c>
      <c r="P380" s="2">
        <v>50000000</v>
      </c>
      <c r="Q380" s="1">
        <v>46387</v>
      </c>
      <c r="R380" s="1">
        <v>46416</v>
      </c>
      <c r="S380">
        <v>50</v>
      </c>
      <c r="U380">
        <v>50000000</v>
      </c>
      <c r="AH380">
        <v>50000000</v>
      </c>
    </row>
    <row r="381" spans="1:34" hidden="1" x14ac:dyDescent="0.45">
      <c r="A381">
        <v>15766</v>
      </c>
      <c r="B381" t="s">
        <v>454</v>
      </c>
      <c r="C381" t="s">
        <v>36</v>
      </c>
      <c r="D381" t="s">
        <v>37</v>
      </c>
      <c r="E381" t="s">
        <v>38</v>
      </c>
      <c r="F381" t="s">
        <v>745</v>
      </c>
      <c r="G381">
        <v>5</v>
      </c>
      <c r="H381" t="s">
        <v>746</v>
      </c>
      <c r="I381" t="s">
        <v>503</v>
      </c>
      <c r="J381" t="s">
        <v>1131</v>
      </c>
      <c r="K381" t="s">
        <v>210</v>
      </c>
      <c r="L381" t="s">
        <v>102</v>
      </c>
      <c r="M381" s="2">
        <v>6412500000</v>
      </c>
      <c r="N381" s="2">
        <v>85500000</v>
      </c>
      <c r="O381" s="2">
        <v>3206250000</v>
      </c>
      <c r="P381" s="2">
        <v>42750000</v>
      </c>
      <c r="Q381" s="1">
        <v>46132</v>
      </c>
      <c r="R381" s="1">
        <v>46162</v>
      </c>
      <c r="S381">
        <v>50</v>
      </c>
      <c r="V381">
        <v>42750000</v>
      </c>
      <c r="AH381">
        <v>42750000</v>
      </c>
    </row>
    <row r="382" spans="1:34" hidden="1" x14ac:dyDescent="0.45">
      <c r="A382">
        <v>15767</v>
      </c>
      <c r="B382" t="s">
        <v>574</v>
      </c>
      <c r="C382" t="s">
        <v>36</v>
      </c>
      <c r="D382" t="s">
        <v>37</v>
      </c>
      <c r="E382" t="s">
        <v>38</v>
      </c>
      <c r="F382" t="s">
        <v>747</v>
      </c>
      <c r="G382">
        <v>1</v>
      </c>
      <c r="H382" t="s">
        <v>748</v>
      </c>
      <c r="I382" t="s">
        <v>749</v>
      </c>
      <c r="J382" t="s">
        <v>1133</v>
      </c>
      <c r="K382" t="s">
        <v>42</v>
      </c>
      <c r="L382" t="s">
        <v>750</v>
      </c>
      <c r="M382" s="2">
        <v>150000000</v>
      </c>
      <c r="N382" s="2">
        <v>150000000</v>
      </c>
      <c r="O382" s="2">
        <v>60000000</v>
      </c>
      <c r="P382" s="2">
        <v>60000000</v>
      </c>
      <c r="Q382" s="1">
        <v>46203</v>
      </c>
      <c r="R382" s="1">
        <v>46356</v>
      </c>
      <c r="S382">
        <v>40</v>
      </c>
      <c r="X382">
        <v>60000000</v>
      </c>
      <c r="AH382">
        <v>60000000</v>
      </c>
    </row>
    <row r="383" spans="1:34" hidden="1" x14ac:dyDescent="0.45">
      <c r="A383">
        <v>15768</v>
      </c>
      <c r="B383" t="s">
        <v>448</v>
      </c>
      <c r="C383" t="s">
        <v>36</v>
      </c>
      <c r="D383" t="s">
        <v>37</v>
      </c>
      <c r="E383" t="s">
        <v>38</v>
      </c>
      <c r="F383" t="s">
        <v>751</v>
      </c>
      <c r="G383">
        <v>1</v>
      </c>
      <c r="H383" t="s">
        <v>752</v>
      </c>
      <c r="I383" t="s">
        <v>654</v>
      </c>
      <c r="J383" t="s">
        <v>1132</v>
      </c>
      <c r="K383" t="s">
        <v>42</v>
      </c>
      <c r="L383" t="s">
        <v>567</v>
      </c>
      <c r="M383" s="2">
        <v>52803000</v>
      </c>
      <c r="N383" s="2">
        <v>39303000</v>
      </c>
      <c r="O383" s="2">
        <v>26401500</v>
      </c>
      <c r="P383" s="2">
        <v>19651500</v>
      </c>
      <c r="Q383" s="1">
        <v>46295</v>
      </c>
      <c r="R383" s="1">
        <v>46326</v>
      </c>
      <c r="S383">
        <v>50</v>
      </c>
      <c r="U383">
        <v>3636000</v>
      </c>
      <c r="X383">
        <v>16015500</v>
      </c>
      <c r="AH383">
        <v>19651500</v>
      </c>
    </row>
    <row r="384" spans="1:34" hidden="1" x14ac:dyDescent="0.45">
      <c r="A384">
        <v>15769</v>
      </c>
      <c r="B384" t="s">
        <v>448</v>
      </c>
      <c r="C384" t="s">
        <v>36</v>
      </c>
      <c r="D384" t="s">
        <v>37</v>
      </c>
      <c r="E384" t="s">
        <v>38</v>
      </c>
      <c r="F384" t="s">
        <v>751</v>
      </c>
      <c r="G384">
        <v>1</v>
      </c>
      <c r="H384" t="s">
        <v>752</v>
      </c>
      <c r="I384" t="s">
        <v>654</v>
      </c>
      <c r="J384" t="s">
        <v>1132</v>
      </c>
      <c r="K384" t="s">
        <v>42</v>
      </c>
      <c r="L384" t="s">
        <v>753</v>
      </c>
      <c r="M384" s="2">
        <v>70404000</v>
      </c>
      <c r="N384" s="2">
        <v>52404000</v>
      </c>
      <c r="O384" s="2">
        <v>35202000</v>
      </c>
      <c r="P384" s="2">
        <v>26202000</v>
      </c>
      <c r="Q384" s="1">
        <v>46295</v>
      </c>
      <c r="R384" s="1">
        <v>46387</v>
      </c>
      <c r="S384">
        <v>50</v>
      </c>
      <c r="U384">
        <v>4848000</v>
      </c>
      <c r="X384">
        <v>21354000</v>
      </c>
      <c r="AH384">
        <v>26202000</v>
      </c>
    </row>
    <row r="385" spans="1:34" hidden="1" x14ac:dyDescent="0.45">
      <c r="A385">
        <v>15770</v>
      </c>
      <c r="B385" t="s">
        <v>448</v>
      </c>
      <c r="C385" t="s">
        <v>36</v>
      </c>
      <c r="D385" t="s">
        <v>37</v>
      </c>
      <c r="E385" t="s">
        <v>38</v>
      </c>
      <c r="F385" t="s">
        <v>751</v>
      </c>
      <c r="G385">
        <v>1</v>
      </c>
      <c r="H385" t="s">
        <v>752</v>
      </c>
      <c r="I385" t="s">
        <v>654</v>
      </c>
      <c r="J385" t="s">
        <v>1132</v>
      </c>
      <c r="K385" t="s">
        <v>42</v>
      </c>
      <c r="L385" t="s">
        <v>754</v>
      </c>
      <c r="M385" s="2">
        <v>52803000</v>
      </c>
      <c r="N385" s="2">
        <v>39303000</v>
      </c>
      <c r="O385" s="2">
        <v>26401500</v>
      </c>
      <c r="P385" s="2">
        <v>19651500</v>
      </c>
      <c r="Q385" s="1">
        <v>46295</v>
      </c>
      <c r="R385" s="1">
        <v>46446</v>
      </c>
      <c r="S385">
        <v>50</v>
      </c>
      <c r="U385">
        <v>3636000</v>
      </c>
      <c r="X385">
        <v>16015500</v>
      </c>
      <c r="AH385">
        <v>19651500</v>
      </c>
    </row>
    <row r="386" spans="1:34" hidden="1" x14ac:dyDescent="0.45">
      <c r="A386">
        <v>15771</v>
      </c>
      <c r="B386" t="s">
        <v>448</v>
      </c>
      <c r="C386" t="s">
        <v>36</v>
      </c>
      <c r="D386" t="s">
        <v>37</v>
      </c>
      <c r="E386" t="s">
        <v>38</v>
      </c>
      <c r="F386" t="s">
        <v>488</v>
      </c>
      <c r="G386">
        <v>5</v>
      </c>
      <c r="H386" t="s">
        <v>489</v>
      </c>
      <c r="I386" t="s">
        <v>490</v>
      </c>
      <c r="J386" t="s">
        <v>1132</v>
      </c>
      <c r="K386" t="s">
        <v>210</v>
      </c>
      <c r="L386" t="s">
        <v>755</v>
      </c>
      <c r="M386" s="2">
        <v>95833333</v>
      </c>
      <c r="N386" s="2">
        <v>95795000</v>
      </c>
      <c r="O386" s="2">
        <v>47916666.5</v>
      </c>
      <c r="P386" s="2">
        <v>47897500</v>
      </c>
      <c r="Q386" s="1">
        <v>46142</v>
      </c>
      <c r="R386" s="1">
        <v>46295</v>
      </c>
      <c r="S386">
        <v>50</v>
      </c>
      <c r="X386">
        <v>47897500</v>
      </c>
      <c r="AH386">
        <v>47897500</v>
      </c>
    </row>
    <row r="387" spans="1:34" hidden="1" x14ac:dyDescent="0.45">
      <c r="A387">
        <v>15772</v>
      </c>
      <c r="B387" t="s">
        <v>448</v>
      </c>
      <c r="C387" t="s">
        <v>36</v>
      </c>
      <c r="D387" t="s">
        <v>37</v>
      </c>
      <c r="E387" t="s">
        <v>38</v>
      </c>
      <c r="F387" t="s">
        <v>488</v>
      </c>
      <c r="G387">
        <v>5</v>
      </c>
      <c r="H387" t="s">
        <v>489</v>
      </c>
      <c r="I387" t="s">
        <v>490</v>
      </c>
      <c r="J387" t="s">
        <v>1132</v>
      </c>
      <c r="K387" t="s">
        <v>210</v>
      </c>
      <c r="L387" t="s">
        <v>756</v>
      </c>
      <c r="M387" s="2">
        <v>95833333</v>
      </c>
      <c r="N387" s="2">
        <v>95795000</v>
      </c>
      <c r="O387" s="2">
        <v>47916666.5</v>
      </c>
      <c r="P387" s="2">
        <v>47897500</v>
      </c>
      <c r="Q387" s="1">
        <v>46142</v>
      </c>
      <c r="R387" s="1">
        <v>46326</v>
      </c>
      <c r="S387">
        <v>50</v>
      </c>
      <c r="X387">
        <v>47897500</v>
      </c>
      <c r="AH387">
        <v>47897500</v>
      </c>
    </row>
    <row r="388" spans="1:34" hidden="1" x14ac:dyDescent="0.45">
      <c r="A388">
        <v>15773</v>
      </c>
      <c r="B388" t="s">
        <v>448</v>
      </c>
      <c r="C388" t="s">
        <v>36</v>
      </c>
      <c r="D388" t="s">
        <v>37</v>
      </c>
      <c r="E388" t="s">
        <v>38</v>
      </c>
      <c r="F388" t="s">
        <v>488</v>
      </c>
      <c r="G388">
        <v>5</v>
      </c>
      <c r="H388" t="s">
        <v>489</v>
      </c>
      <c r="I388" t="s">
        <v>490</v>
      </c>
      <c r="J388" t="s">
        <v>1132</v>
      </c>
      <c r="K388" t="s">
        <v>210</v>
      </c>
      <c r="L388" t="s">
        <v>757</v>
      </c>
      <c r="M388" s="2">
        <v>95833333</v>
      </c>
      <c r="N388" s="2">
        <v>95795000</v>
      </c>
      <c r="O388" s="2">
        <v>47916666.5</v>
      </c>
      <c r="P388" s="2">
        <v>47897500</v>
      </c>
      <c r="Q388" s="1">
        <v>46142</v>
      </c>
      <c r="R388" s="1">
        <v>46356</v>
      </c>
      <c r="S388">
        <v>50</v>
      </c>
      <c r="X388">
        <v>47897500</v>
      </c>
      <c r="AH388">
        <v>47897500</v>
      </c>
    </row>
    <row r="389" spans="1:34" hidden="1" x14ac:dyDescent="0.45">
      <c r="A389">
        <v>15774</v>
      </c>
      <c r="B389" t="s">
        <v>448</v>
      </c>
      <c r="C389" t="s">
        <v>36</v>
      </c>
      <c r="D389" t="s">
        <v>37</v>
      </c>
      <c r="E389" t="s">
        <v>38</v>
      </c>
      <c r="F389" t="s">
        <v>488</v>
      </c>
      <c r="G389">
        <v>5</v>
      </c>
      <c r="H389" t="s">
        <v>489</v>
      </c>
      <c r="I389" t="s">
        <v>490</v>
      </c>
      <c r="J389" t="s">
        <v>1132</v>
      </c>
      <c r="K389" t="s">
        <v>210</v>
      </c>
      <c r="L389" t="s">
        <v>758</v>
      </c>
      <c r="M389" s="2">
        <v>95833333</v>
      </c>
      <c r="N389" s="2">
        <v>95795000</v>
      </c>
      <c r="O389" s="2">
        <v>47916666.5</v>
      </c>
      <c r="P389" s="2">
        <v>47897500</v>
      </c>
      <c r="Q389" s="1">
        <v>46142</v>
      </c>
      <c r="R389" s="1">
        <v>46387</v>
      </c>
      <c r="S389">
        <v>50</v>
      </c>
      <c r="X389">
        <v>47897500</v>
      </c>
      <c r="AH389">
        <v>47897500</v>
      </c>
    </row>
    <row r="390" spans="1:34" hidden="1" x14ac:dyDescent="0.45">
      <c r="A390">
        <v>15775</v>
      </c>
      <c r="B390" t="s">
        <v>448</v>
      </c>
      <c r="C390" t="s">
        <v>36</v>
      </c>
      <c r="D390" t="s">
        <v>37</v>
      </c>
      <c r="E390" t="s">
        <v>38</v>
      </c>
      <c r="F390" t="s">
        <v>488</v>
      </c>
      <c r="G390">
        <v>5</v>
      </c>
      <c r="H390" t="s">
        <v>489</v>
      </c>
      <c r="I390" t="s">
        <v>490</v>
      </c>
      <c r="J390" t="s">
        <v>1132</v>
      </c>
      <c r="K390" t="s">
        <v>210</v>
      </c>
      <c r="L390" t="s">
        <v>759</v>
      </c>
      <c r="M390" s="2">
        <v>95833334</v>
      </c>
      <c r="N390" s="2">
        <v>95795000</v>
      </c>
      <c r="O390" s="2">
        <v>47916667</v>
      </c>
      <c r="P390" s="2">
        <v>47897500</v>
      </c>
      <c r="Q390" s="1">
        <v>46142</v>
      </c>
      <c r="R390" s="1">
        <v>46418</v>
      </c>
      <c r="S390">
        <v>50</v>
      </c>
      <c r="X390">
        <v>47897500</v>
      </c>
      <c r="AH390">
        <v>47897500</v>
      </c>
    </row>
    <row r="391" spans="1:34" hidden="1" x14ac:dyDescent="0.45">
      <c r="A391">
        <v>15776</v>
      </c>
      <c r="B391" t="s">
        <v>448</v>
      </c>
      <c r="C391" t="s">
        <v>36</v>
      </c>
      <c r="D391" t="s">
        <v>37</v>
      </c>
      <c r="E391" t="s">
        <v>38</v>
      </c>
      <c r="F391" t="s">
        <v>488</v>
      </c>
      <c r="G391">
        <v>5</v>
      </c>
      <c r="H391" t="s">
        <v>489</v>
      </c>
      <c r="I391" t="s">
        <v>490</v>
      </c>
      <c r="J391" t="s">
        <v>1132</v>
      </c>
      <c r="K391" t="s">
        <v>210</v>
      </c>
      <c r="L391" t="s">
        <v>760</v>
      </c>
      <c r="M391" s="2">
        <v>95833334</v>
      </c>
      <c r="N391" s="2">
        <v>95795000</v>
      </c>
      <c r="O391" s="2">
        <v>47916667</v>
      </c>
      <c r="P391" s="2">
        <v>47897500</v>
      </c>
      <c r="Q391" s="1">
        <v>46142</v>
      </c>
      <c r="R391" s="1">
        <v>46446</v>
      </c>
      <c r="S391">
        <v>50</v>
      </c>
      <c r="X391">
        <v>47897500</v>
      </c>
      <c r="AH391">
        <v>47897500</v>
      </c>
    </row>
    <row r="392" spans="1:34" hidden="1" x14ac:dyDescent="0.45">
      <c r="A392">
        <v>15777</v>
      </c>
      <c r="B392" t="s">
        <v>448</v>
      </c>
      <c r="C392" t="s">
        <v>36</v>
      </c>
      <c r="D392" t="s">
        <v>37</v>
      </c>
      <c r="E392" t="s">
        <v>38</v>
      </c>
      <c r="F392" t="s">
        <v>488</v>
      </c>
      <c r="G392">
        <v>5</v>
      </c>
      <c r="H392" t="s">
        <v>489</v>
      </c>
      <c r="I392" t="s">
        <v>490</v>
      </c>
      <c r="J392" t="s">
        <v>1132</v>
      </c>
      <c r="K392" t="s">
        <v>210</v>
      </c>
      <c r="L392" t="s">
        <v>761</v>
      </c>
      <c r="M392" s="2">
        <v>95833334</v>
      </c>
      <c r="N392" s="2">
        <v>95795000</v>
      </c>
      <c r="O392" s="2">
        <v>47916667</v>
      </c>
      <c r="P392" s="2">
        <v>47897500</v>
      </c>
      <c r="Q392" s="1">
        <v>46142</v>
      </c>
      <c r="R392" s="1">
        <v>46477</v>
      </c>
      <c r="S392">
        <v>50</v>
      </c>
      <c r="X392">
        <v>47897500</v>
      </c>
      <c r="AH392">
        <v>47897500</v>
      </c>
    </row>
    <row r="393" spans="1:34" hidden="1" x14ac:dyDescent="0.45">
      <c r="A393">
        <v>15778</v>
      </c>
      <c r="B393" t="s">
        <v>448</v>
      </c>
      <c r="C393" t="s">
        <v>36</v>
      </c>
      <c r="D393" t="s">
        <v>37</v>
      </c>
      <c r="E393" t="s">
        <v>38</v>
      </c>
      <c r="F393" t="s">
        <v>488</v>
      </c>
      <c r="G393">
        <v>5</v>
      </c>
      <c r="H393" t="s">
        <v>489</v>
      </c>
      <c r="I393" t="s">
        <v>490</v>
      </c>
      <c r="J393" t="s">
        <v>1132</v>
      </c>
      <c r="K393" t="s">
        <v>210</v>
      </c>
      <c r="L393" t="s">
        <v>762</v>
      </c>
      <c r="M393" s="2">
        <v>95833334</v>
      </c>
      <c r="N393" s="2">
        <v>95795000</v>
      </c>
      <c r="O393" s="2">
        <v>47916667</v>
      </c>
      <c r="P393" s="2">
        <v>47897500</v>
      </c>
      <c r="Q393" s="1">
        <v>46142</v>
      </c>
      <c r="R393" s="1">
        <v>46507</v>
      </c>
      <c r="S393">
        <v>50</v>
      </c>
      <c r="X393">
        <v>47897500</v>
      </c>
      <c r="AH393">
        <v>47897500</v>
      </c>
    </row>
    <row r="394" spans="1:34" hidden="1" x14ac:dyDescent="0.45">
      <c r="A394">
        <v>15779</v>
      </c>
      <c r="B394" t="s">
        <v>448</v>
      </c>
      <c r="C394" t="s">
        <v>36</v>
      </c>
      <c r="D394" t="s">
        <v>37</v>
      </c>
      <c r="E394" t="s">
        <v>38</v>
      </c>
      <c r="F394" t="s">
        <v>493</v>
      </c>
      <c r="G394">
        <v>2</v>
      </c>
      <c r="H394" t="s">
        <v>494</v>
      </c>
      <c r="I394" t="s">
        <v>473</v>
      </c>
      <c r="J394" t="s">
        <v>1132</v>
      </c>
      <c r="K394" t="s">
        <v>66</v>
      </c>
      <c r="L394" t="s">
        <v>755</v>
      </c>
      <c r="M394" s="2">
        <v>6800000</v>
      </c>
      <c r="N394" s="2">
        <v>2039184</v>
      </c>
      <c r="O394" s="2">
        <v>3400000</v>
      </c>
      <c r="P394" s="2">
        <v>1019592</v>
      </c>
      <c r="Q394" s="1">
        <v>46234</v>
      </c>
      <c r="R394" s="1">
        <v>46356</v>
      </c>
      <c r="S394">
        <v>50</v>
      </c>
      <c r="V394">
        <v>1019592</v>
      </c>
      <c r="AH394">
        <v>1019592</v>
      </c>
    </row>
    <row r="395" spans="1:34" hidden="1" x14ac:dyDescent="0.45">
      <c r="A395">
        <v>15780</v>
      </c>
      <c r="B395" t="s">
        <v>448</v>
      </c>
      <c r="C395" t="s">
        <v>36</v>
      </c>
      <c r="D395" t="s">
        <v>37</v>
      </c>
      <c r="E395" t="s">
        <v>38</v>
      </c>
      <c r="F395" t="s">
        <v>493</v>
      </c>
      <c r="G395">
        <v>2</v>
      </c>
      <c r="H395" t="s">
        <v>494</v>
      </c>
      <c r="I395" t="s">
        <v>473</v>
      </c>
      <c r="J395" t="s">
        <v>1132</v>
      </c>
      <c r="K395" t="s">
        <v>66</v>
      </c>
      <c r="L395" t="s">
        <v>756</v>
      </c>
      <c r="M395" s="2">
        <v>6800000</v>
      </c>
      <c r="N395" s="2">
        <v>2039184</v>
      </c>
      <c r="O395" s="2">
        <v>3400000</v>
      </c>
      <c r="P395" s="2">
        <v>1019592</v>
      </c>
      <c r="Q395" s="1">
        <v>46234</v>
      </c>
      <c r="R395" s="1">
        <v>46387</v>
      </c>
      <c r="S395">
        <v>50</v>
      </c>
      <c r="V395">
        <v>1019592</v>
      </c>
      <c r="AH395">
        <v>1019592</v>
      </c>
    </row>
    <row r="396" spans="1:34" hidden="1" x14ac:dyDescent="0.45">
      <c r="A396">
        <v>15781</v>
      </c>
      <c r="B396" t="s">
        <v>448</v>
      </c>
      <c r="C396" t="s">
        <v>36</v>
      </c>
      <c r="D396" t="s">
        <v>37</v>
      </c>
      <c r="E396" t="s">
        <v>38</v>
      </c>
      <c r="F396" t="s">
        <v>493</v>
      </c>
      <c r="G396">
        <v>2</v>
      </c>
      <c r="H396" t="s">
        <v>494</v>
      </c>
      <c r="I396" t="s">
        <v>473</v>
      </c>
      <c r="J396" t="s">
        <v>1132</v>
      </c>
      <c r="K396" t="s">
        <v>66</v>
      </c>
      <c r="L396" t="s">
        <v>757</v>
      </c>
      <c r="M396" s="2">
        <v>6800000</v>
      </c>
      <c r="N396" s="2">
        <v>2039184</v>
      </c>
      <c r="O396" s="2">
        <v>3400000</v>
      </c>
      <c r="P396" s="2">
        <v>1019592</v>
      </c>
      <c r="Q396" s="1">
        <v>46234</v>
      </c>
      <c r="R396" s="1">
        <v>46418</v>
      </c>
      <c r="S396">
        <v>50</v>
      </c>
      <c r="V396">
        <v>1019592</v>
      </c>
      <c r="AH396">
        <v>1019592</v>
      </c>
    </row>
    <row r="397" spans="1:34" hidden="1" x14ac:dyDescent="0.45">
      <c r="A397">
        <v>15782</v>
      </c>
      <c r="B397" t="s">
        <v>448</v>
      </c>
      <c r="C397" t="s">
        <v>36</v>
      </c>
      <c r="D397" t="s">
        <v>37</v>
      </c>
      <c r="E397" t="s">
        <v>38</v>
      </c>
      <c r="F397" t="s">
        <v>493</v>
      </c>
      <c r="G397">
        <v>2</v>
      </c>
      <c r="H397" t="s">
        <v>494</v>
      </c>
      <c r="I397" t="s">
        <v>473</v>
      </c>
      <c r="J397" t="s">
        <v>1132</v>
      </c>
      <c r="K397" t="s">
        <v>66</v>
      </c>
      <c r="L397" t="s">
        <v>758</v>
      </c>
      <c r="M397" s="2">
        <v>6800000</v>
      </c>
      <c r="N397" s="2">
        <v>2039184</v>
      </c>
      <c r="O397" s="2">
        <v>3400000</v>
      </c>
      <c r="P397" s="2">
        <v>1019592</v>
      </c>
      <c r="Q397" s="1">
        <v>46234</v>
      </c>
      <c r="R397" s="1">
        <v>46446</v>
      </c>
      <c r="S397">
        <v>50</v>
      </c>
      <c r="V397">
        <v>1019592</v>
      </c>
      <c r="AH397">
        <v>1019592</v>
      </c>
    </row>
    <row r="398" spans="1:34" hidden="1" x14ac:dyDescent="0.45">
      <c r="A398">
        <v>15783</v>
      </c>
      <c r="B398" t="s">
        <v>448</v>
      </c>
      <c r="C398" t="s">
        <v>36</v>
      </c>
      <c r="D398" t="s">
        <v>37</v>
      </c>
      <c r="E398" t="s">
        <v>38</v>
      </c>
      <c r="F398" t="s">
        <v>493</v>
      </c>
      <c r="G398">
        <v>2</v>
      </c>
      <c r="H398" t="s">
        <v>494</v>
      </c>
      <c r="I398" t="s">
        <v>473</v>
      </c>
      <c r="J398" t="s">
        <v>1132</v>
      </c>
      <c r="K398" t="s">
        <v>66</v>
      </c>
      <c r="L398" t="s">
        <v>759</v>
      </c>
      <c r="M398" s="2">
        <v>6800000</v>
      </c>
      <c r="N398" s="2">
        <v>2039184</v>
      </c>
      <c r="O398" s="2">
        <v>3400000</v>
      </c>
      <c r="P398" s="2">
        <v>1019592</v>
      </c>
      <c r="Q398" s="1">
        <v>46234</v>
      </c>
      <c r="R398" s="1">
        <v>46477</v>
      </c>
      <c r="S398">
        <v>50</v>
      </c>
      <c r="V398">
        <v>1019592</v>
      </c>
      <c r="AH398">
        <v>1019592</v>
      </c>
    </row>
    <row r="399" spans="1:34" hidden="1" x14ac:dyDescent="0.45">
      <c r="A399">
        <v>15784</v>
      </c>
      <c r="B399" t="s">
        <v>448</v>
      </c>
      <c r="C399" t="s">
        <v>36</v>
      </c>
      <c r="D399" t="s">
        <v>37</v>
      </c>
      <c r="E399" t="s">
        <v>38</v>
      </c>
      <c r="F399" t="s">
        <v>493</v>
      </c>
      <c r="G399">
        <v>2</v>
      </c>
      <c r="H399" t="s">
        <v>494</v>
      </c>
      <c r="I399" t="s">
        <v>473</v>
      </c>
      <c r="J399" t="s">
        <v>1132</v>
      </c>
      <c r="K399" t="s">
        <v>66</v>
      </c>
      <c r="L399" t="s">
        <v>760</v>
      </c>
      <c r="M399" s="2">
        <v>6800000</v>
      </c>
      <c r="N399" s="2">
        <v>2039184</v>
      </c>
      <c r="O399" s="2">
        <v>3400000</v>
      </c>
      <c r="P399" s="2">
        <v>1019592</v>
      </c>
      <c r="Q399" s="1">
        <v>46234</v>
      </c>
      <c r="R399" s="1">
        <v>46507</v>
      </c>
      <c r="S399">
        <v>50</v>
      </c>
      <c r="V399">
        <v>1019592</v>
      </c>
      <c r="AH399">
        <v>1019592</v>
      </c>
    </row>
    <row r="400" spans="1:34" hidden="1" x14ac:dyDescent="0.45">
      <c r="A400">
        <v>15785</v>
      </c>
      <c r="B400" t="s">
        <v>448</v>
      </c>
      <c r="C400" t="s">
        <v>36</v>
      </c>
      <c r="D400" t="s">
        <v>37</v>
      </c>
      <c r="E400" t="s">
        <v>38</v>
      </c>
      <c r="F400" t="s">
        <v>493</v>
      </c>
      <c r="G400">
        <v>2</v>
      </c>
      <c r="H400" t="s">
        <v>494</v>
      </c>
      <c r="I400" t="s">
        <v>473</v>
      </c>
      <c r="J400" t="s">
        <v>1132</v>
      </c>
      <c r="K400" t="s">
        <v>66</v>
      </c>
      <c r="L400" t="s">
        <v>761</v>
      </c>
      <c r="M400" s="2">
        <v>6800000</v>
      </c>
      <c r="N400" s="2">
        <v>2039184</v>
      </c>
      <c r="O400" s="2">
        <v>3400000</v>
      </c>
      <c r="P400" s="2">
        <v>1019592</v>
      </c>
      <c r="Q400" s="1">
        <v>46234</v>
      </c>
      <c r="R400" s="1">
        <v>46538</v>
      </c>
      <c r="S400">
        <v>50</v>
      </c>
      <c r="V400">
        <v>1019592</v>
      </c>
      <c r="AH400">
        <v>1019592</v>
      </c>
    </row>
    <row r="401" spans="1:34" hidden="1" x14ac:dyDescent="0.45">
      <c r="A401">
        <v>15786</v>
      </c>
      <c r="B401" t="s">
        <v>448</v>
      </c>
      <c r="C401" t="s">
        <v>36</v>
      </c>
      <c r="D401" t="s">
        <v>37</v>
      </c>
      <c r="E401" t="s">
        <v>38</v>
      </c>
      <c r="F401" t="s">
        <v>493</v>
      </c>
      <c r="G401">
        <v>2</v>
      </c>
      <c r="H401" t="s">
        <v>494</v>
      </c>
      <c r="I401" t="s">
        <v>473</v>
      </c>
      <c r="J401" t="s">
        <v>1132</v>
      </c>
      <c r="K401" t="s">
        <v>66</v>
      </c>
      <c r="L401" t="s">
        <v>762</v>
      </c>
      <c r="M401" s="2">
        <v>6800000</v>
      </c>
      <c r="N401" s="2">
        <v>2039184</v>
      </c>
      <c r="O401" s="2">
        <v>3400000</v>
      </c>
      <c r="P401" s="2">
        <v>1019592</v>
      </c>
      <c r="Q401" s="1">
        <v>46234</v>
      </c>
      <c r="R401" s="1">
        <v>46568</v>
      </c>
      <c r="S401">
        <v>50</v>
      </c>
      <c r="V401">
        <v>1019592</v>
      </c>
      <c r="AH401">
        <v>1019592</v>
      </c>
    </row>
    <row r="402" spans="1:34" x14ac:dyDescent="0.45">
      <c r="A402">
        <v>15787</v>
      </c>
      <c r="B402" t="s">
        <v>617</v>
      </c>
      <c r="C402" t="s">
        <v>36</v>
      </c>
      <c r="D402" t="s">
        <v>37</v>
      </c>
      <c r="E402" t="s">
        <v>38</v>
      </c>
      <c r="F402" t="s">
        <v>763</v>
      </c>
      <c r="G402">
        <v>2</v>
      </c>
      <c r="H402" t="s">
        <v>764</v>
      </c>
      <c r="I402" t="s">
        <v>700</v>
      </c>
      <c r="J402" t="s">
        <v>1131</v>
      </c>
      <c r="K402" t="s">
        <v>66</v>
      </c>
      <c r="L402" t="s">
        <v>765</v>
      </c>
      <c r="M402" s="2">
        <v>658950000</v>
      </c>
      <c r="N402" s="2">
        <v>170042100</v>
      </c>
      <c r="O402" s="2">
        <v>329475000</v>
      </c>
      <c r="P402" s="2">
        <v>85021050</v>
      </c>
      <c r="Q402" s="1">
        <v>46204</v>
      </c>
      <c r="R402" s="1">
        <v>46265</v>
      </c>
      <c r="S402">
        <v>50</v>
      </c>
      <c r="U402">
        <v>10021050</v>
      </c>
      <c r="X402">
        <v>75000000</v>
      </c>
      <c r="AH402">
        <v>85021050</v>
      </c>
    </row>
    <row r="403" spans="1:34" x14ac:dyDescent="0.45">
      <c r="A403">
        <v>15788</v>
      </c>
      <c r="B403" t="s">
        <v>617</v>
      </c>
      <c r="C403" t="s">
        <v>36</v>
      </c>
      <c r="D403" t="s">
        <v>37</v>
      </c>
      <c r="E403" t="s">
        <v>38</v>
      </c>
      <c r="F403" t="s">
        <v>763</v>
      </c>
      <c r="G403">
        <v>2</v>
      </c>
      <c r="H403" t="s">
        <v>764</v>
      </c>
      <c r="I403" t="s">
        <v>700</v>
      </c>
      <c r="J403" t="s">
        <v>1131</v>
      </c>
      <c r="K403" t="s">
        <v>66</v>
      </c>
      <c r="L403" t="s">
        <v>766</v>
      </c>
      <c r="M403" s="2">
        <v>1317900000</v>
      </c>
      <c r="N403" s="2">
        <v>340084200</v>
      </c>
      <c r="O403" s="2">
        <v>658950000</v>
      </c>
      <c r="P403" s="2">
        <v>170042100</v>
      </c>
      <c r="Q403" s="1">
        <v>46204</v>
      </c>
      <c r="R403" s="1">
        <v>46356</v>
      </c>
      <c r="S403">
        <v>50</v>
      </c>
      <c r="U403">
        <v>20042100</v>
      </c>
      <c r="X403">
        <v>150000000</v>
      </c>
      <c r="AH403">
        <v>170042100</v>
      </c>
    </row>
    <row r="404" spans="1:34" x14ac:dyDescent="0.45">
      <c r="A404">
        <v>15789</v>
      </c>
      <c r="B404" t="s">
        <v>617</v>
      </c>
      <c r="C404" t="s">
        <v>36</v>
      </c>
      <c r="D404" t="s">
        <v>37</v>
      </c>
      <c r="E404" t="s">
        <v>38</v>
      </c>
      <c r="F404" t="s">
        <v>763</v>
      </c>
      <c r="G404">
        <v>2</v>
      </c>
      <c r="H404" t="s">
        <v>764</v>
      </c>
      <c r="I404" t="s">
        <v>700</v>
      </c>
      <c r="J404" t="s">
        <v>1131</v>
      </c>
      <c r="K404" t="s">
        <v>66</v>
      </c>
      <c r="L404" t="s">
        <v>767</v>
      </c>
      <c r="M404" s="2">
        <v>658950000</v>
      </c>
      <c r="N404" s="2">
        <v>170042100</v>
      </c>
      <c r="O404" s="2">
        <v>329475000</v>
      </c>
      <c r="P404" s="2">
        <v>85021050</v>
      </c>
      <c r="Q404" s="1">
        <v>46204</v>
      </c>
      <c r="R404" s="1">
        <v>46444</v>
      </c>
      <c r="S404">
        <v>50</v>
      </c>
      <c r="U404">
        <v>10021050</v>
      </c>
      <c r="X404">
        <v>75000000</v>
      </c>
      <c r="AH404">
        <v>85021050</v>
      </c>
    </row>
    <row r="405" spans="1:34" x14ac:dyDescent="0.45">
      <c r="A405">
        <v>15790</v>
      </c>
      <c r="B405" t="s">
        <v>617</v>
      </c>
      <c r="C405" t="s">
        <v>36</v>
      </c>
      <c r="D405" t="s">
        <v>37</v>
      </c>
      <c r="E405" t="s">
        <v>38</v>
      </c>
      <c r="F405" t="s">
        <v>763</v>
      </c>
      <c r="G405">
        <v>2</v>
      </c>
      <c r="H405" t="s">
        <v>764</v>
      </c>
      <c r="I405" t="s">
        <v>700</v>
      </c>
      <c r="J405" t="s">
        <v>1131</v>
      </c>
      <c r="K405" t="s">
        <v>66</v>
      </c>
      <c r="L405" t="s">
        <v>453</v>
      </c>
      <c r="M405" s="2">
        <v>1317900000</v>
      </c>
      <c r="N405" s="2">
        <v>340084200</v>
      </c>
      <c r="O405" s="2">
        <v>658950000</v>
      </c>
      <c r="P405" s="2">
        <v>170042100</v>
      </c>
      <c r="Q405" s="1">
        <v>46204</v>
      </c>
      <c r="R405" s="1">
        <v>46535</v>
      </c>
      <c r="S405">
        <v>50</v>
      </c>
      <c r="U405">
        <v>20042100</v>
      </c>
      <c r="X405">
        <v>150000000</v>
      </c>
      <c r="AH405">
        <v>170042100</v>
      </c>
    </row>
    <row r="406" spans="1:34" x14ac:dyDescent="0.45">
      <c r="A406">
        <v>15791</v>
      </c>
      <c r="B406" t="s">
        <v>617</v>
      </c>
      <c r="C406" t="s">
        <v>36</v>
      </c>
      <c r="D406" t="s">
        <v>37</v>
      </c>
      <c r="E406" t="s">
        <v>38</v>
      </c>
      <c r="F406" t="s">
        <v>763</v>
      </c>
      <c r="G406">
        <v>2</v>
      </c>
      <c r="H406" t="s">
        <v>764</v>
      </c>
      <c r="I406" t="s">
        <v>700</v>
      </c>
      <c r="J406" t="s">
        <v>1131</v>
      </c>
      <c r="K406" t="s">
        <v>66</v>
      </c>
      <c r="L406" t="s">
        <v>768</v>
      </c>
      <c r="M406" s="2">
        <v>1976850000</v>
      </c>
      <c r="N406" s="2">
        <v>510126300</v>
      </c>
      <c r="O406" s="2">
        <v>988425000</v>
      </c>
      <c r="P406" s="2">
        <v>255063150</v>
      </c>
      <c r="Q406" s="1">
        <v>46204</v>
      </c>
      <c r="R406" s="1">
        <v>46598</v>
      </c>
      <c r="S406">
        <v>50</v>
      </c>
      <c r="U406">
        <v>30063150</v>
      </c>
      <c r="X406">
        <v>225000000</v>
      </c>
      <c r="AH406">
        <v>255063150</v>
      </c>
    </row>
    <row r="407" spans="1:34" x14ac:dyDescent="0.45">
      <c r="A407">
        <v>15792</v>
      </c>
      <c r="B407" t="s">
        <v>617</v>
      </c>
      <c r="C407" t="s">
        <v>36</v>
      </c>
      <c r="D407" t="s">
        <v>37</v>
      </c>
      <c r="E407" t="s">
        <v>38</v>
      </c>
      <c r="F407" t="s">
        <v>763</v>
      </c>
      <c r="G407">
        <v>2</v>
      </c>
      <c r="H407" t="s">
        <v>764</v>
      </c>
      <c r="I407" t="s">
        <v>700</v>
      </c>
      <c r="J407" t="s">
        <v>1131</v>
      </c>
      <c r="K407" t="s">
        <v>66</v>
      </c>
      <c r="L407" t="s">
        <v>769</v>
      </c>
      <c r="M407" s="2">
        <v>658950000</v>
      </c>
      <c r="N407" s="2">
        <v>170042100</v>
      </c>
      <c r="O407" s="2">
        <v>329475000</v>
      </c>
      <c r="P407" s="2">
        <v>85021050</v>
      </c>
      <c r="Q407" s="1">
        <v>46204</v>
      </c>
      <c r="R407" s="1">
        <v>46721</v>
      </c>
      <c r="S407">
        <v>50</v>
      </c>
      <c r="U407">
        <v>10021050</v>
      </c>
      <c r="X407">
        <v>75000000</v>
      </c>
      <c r="AH407">
        <v>85021050</v>
      </c>
    </row>
    <row r="408" spans="1:34" hidden="1" x14ac:dyDescent="0.45">
      <c r="A408">
        <v>15793</v>
      </c>
      <c r="B408" t="s">
        <v>515</v>
      </c>
      <c r="C408" t="s">
        <v>36</v>
      </c>
      <c r="D408" t="s">
        <v>37</v>
      </c>
      <c r="E408" t="s">
        <v>38</v>
      </c>
      <c r="F408" t="s">
        <v>605</v>
      </c>
      <c r="G408">
        <v>2</v>
      </c>
      <c r="H408" t="s">
        <v>606</v>
      </c>
      <c r="I408" t="s">
        <v>552</v>
      </c>
      <c r="J408" t="s">
        <v>1133</v>
      </c>
      <c r="K408" t="s">
        <v>66</v>
      </c>
      <c r="L408" t="s">
        <v>770</v>
      </c>
      <c r="M408" s="2">
        <v>50000000</v>
      </c>
      <c r="N408" s="2">
        <v>15000000</v>
      </c>
      <c r="O408" s="2">
        <v>10000000</v>
      </c>
      <c r="P408" s="2">
        <v>3000000</v>
      </c>
      <c r="Q408" s="1">
        <v>46265</v>
      </c>
      <c r="R408" s="1">
        <v>46326</v>
      </c>
      <c r="S408">
        <v>20</v>
      </c>
      <c r="V408">
        <v>200000</v>
      </c>
      <c r="X408">
        <v>2800000</v>
      </c>
      <c r="AH408">
        <v>3000000</v>
      </c>
    </row>
    <row r="409" spans="1:34" hidden="1" x14ac:dyDescent="0.45">
      <c r="A409">
        <v>15794</v>
      </c>
      <c r="B409" t="s">
        <v>515</v>
      </c>
      <c r="C409" t="s">
        <v>36</v>
      </c>
      <c r="D409" t="s">
        <v>37</v>
      </c>
      <c r="E409" t="s">
        <v>38</v>
      </c>
      <c r="F409" t="s">
        <v>771</v>
      </c>
      <c r="G409">
        <v>4</v>
      </c>
      <c r="H409" t="s">
        <v>772</v>
      </c>
      <c r="I409" t="s">
        <v>677</v>
      </c>
      <c r="J409" t="s">
        <v>1133</v>
      </c>
      <c r="K409" t="s">
        <v>51</v>
      </c>
      <c r="L409" t="s">
        <v>773</v>
      </c>
      <c r="M409" s="2">
        <v>41250000</v>
      </c>
      <c r="N409" s="2">
        <v>41250000</v>
      </c>
      <c r="O409" s="2">
        <v>20625000</v>
      </c>
      <c r="P409" s="2">
        <v>20625000</v>
      </c>
      <c r="Q409" s="1">
        <v>46173</v>
      </c>
      <c r="R409" s="1">
        <v>46173</v>
      </c>
      <c r="S409">
        <v>50</v>
      </c>
      <c r="X409">
        <v>20625000</v>
      </c>
      <c r="AH409">
        <v>20625000</v>
      </c>
    </row>
    <row r="410" spans="1:34" hidden="1" x14ac:dyDescent="0.45">
      <c r="A410">
        <v>15795</v>
      </c>
      <c r="B410" t="s">
        <v>515</v>
      </c>
      <c r="C410" t="s">
        <v>36</v>
      </c>
      <c r="D410" t="s">
        <v>37</v>
      </c>
      <c r="E410" t="s">
        <v>38</v>
      </c>
      <c r="F410" t="s">
        <v>771</v>
      </c>
      <c r="G410">
        <v>4</v>
      </c>
      <c r="H410" t="s">
        <v>772</v>
      </c>
      <c r="I410" t="s">
        <v>677</v>
      </c>
      <c r="J410" t="s">
        <v>1133</v>
      </c>
      <c r="K410" t="s">
        <v>51</v>
      </c>
      <c r="L410" t="s">
        <v>774</v>
      </c>
      <c r="M410" s="2">
        <v>74250000</v>
      </c>
      <c r="N410" s="2">
        <v>74250000</v>
      </c>
      <c r="O410" s="2">
        <v>37125000</v>
      </c>
      <c r="P410" s="2">
        <v>37125000</v>
      </c>
      <c r="Q410" s="1">
        <v>46173</v>
      </c>
      <c r="R410" s="1">
        <v>46234</v>
      </c>
      <c r="S410">
        <v>50</v>
      </c>
      <c r="X410">
        <v>37125000</v>
      </c>
      <c r="AH410">
        <v>37125000</v>
      </c>
    </row>
    <row r="411" spans="1:34" hidden="1" x14ac:dyDescent="0.45">
      <c r="A411">
        <v>15796</v>
      </c>
      <c r="B411" t="s">
        <v>515</v>
      </c>
      <c r="C411" t="s">
        <v>36</v>
      </c>
      <c r="D411" t="s">
        <v>37</v>
      </c>
      <c r="E411" t="s">
        <v>38</v>
      </c>
      <c r="F411" t="s">
        <v>771</v>
      </c>
      <c r="G411">
        <v>4</v>
      </c>
      <c r="H411" t="s">
        <v>772</v>
      </c>
      <c r="I411" t="s">
        <v>677</v>
      </c>
      <c r="J411" t="s">
        <v>1133</v>
      </c>
      <c r="K411" t="s">
        <v>51</v>
      </c>
      <c r="L411" t="s">
        <v>775</v>
      </c>
      <c r="M411" s="2">
        <v>24750000</v>
      </c>
      <c r="N411" s="2">
        <v>24750000</v>
      </c>
      <c r="O411" s="2">
        <v>12375000</v>
      </c>
      <c r="P411" s="2">
        <v>12375000</v>
      </c>
      <c r="Q411" s="1">
        <v>46173</v>
      </c>
      <c r="R411" s="1">
        <v>46265</v>
      </c>
      <c r="S411">
        <v>50</v>
      </c>
      <c r="X411">
        <v>12375000</v>
      </c>
      <c r="AH411">
        <v>12375000</v>
      </c>
    </row>
    <row r="412" spans="1:34" hidden="1" x14ac:dyDescent="0.45">
      <c r="A412">
        <v>15797</v>
      </c>
      <c r="B412" t="s">
        <v>515</v>
      </c>
      <c r="C412" t="s">
        <v>36</v>
      </c>
      <c r="D412" t="s">
        <v>37</v>
      </c>
      <c r="E412" t="s">
        <v>38</v>
      </c>
      <c r="F412" t="s">
        <v>771</v>
      </c>
      <c r="G412">
        <v>4</v>
      </c>
      <c r="H412" t="s">
        <v>772</v>
      </c>
      <c r="I412" t="s">
        <v>677</v>
      </c>
      <c r="J412" t="s">
        <v>1133</v>
      </c>
      <c r="K412" t="s">
        <v>51</v>
      </c>
      <c r="L412" t="s">
        <v>775</v>
      </c>
      <c r="M412" s="2">
        <v>24750000</v>
      </c>
      <c r="N412" s="2">
        <v>24750000</v>
      </c>
      <c r="O412" s="2">
        <v>12375000</v>
      </c>
      <c r="P412" s="2">
        <v>12375000</v>
      </c>
      <c r="Q412" s="1">
        <v>46173</v>
      </c>
      <c r="R412" s="1">
        <v>46265</v>
      </c>
      <c r="S412">
        <v>50</v>
      </c>
      <c r="X412">
        <v>12375000</v>
      </c>
      <c r="AH412">
        <v>12375000</v>
      </c>
    </row>
    <row r="413" spans="1:34" hidden="1" x14ac:dyDescent="0.45">
      <c r="A413">
        <v>15798</v>
      </c>
      <c r="B413" t="s">
        <v>515</v>
      </c>
      <c r="C413" t="s">
        <v>36</v>
      </c>
      <c r="D413" t="s">
        <v>37</v>
      </c>
      <c r="E413" t="s">
        <v>38</v>
      </c>
      <c r="F413" t="s">
        <v>739</v>
      </c>
      <c r="G413">
        <v>4</v>
      </c>
      <c r="H413" t="s">
        <v>740</v>
      </c>
      <c r="I413" t="s">
        <v>594</v>
      </c>
      <c r="J413" t="s">
        <v>1133</v>
      </c>
      <c r="K413" t="s">
        <v>51</v>
      </c>
      <c r="L413" t="s">
        <v>770</v>
      </c>
      <c r="M413" s="2">
        <v>40000000</v>
      </c>
      <c r="N413" s="2">
        <v>11914000</v>
      </c>
      <c r="O413" s="2">
        <v>28000000</v>
      </c>
      <c r="P413" s="2">
        <v>8339800</v>
      </c>
      <c r="Q413" s="1">
        <v>46173</v>
      </c>
      <c r="R413" s="1">
        <v>46295</v>
      </c>
      <c r="S413">
        <v>70</v>
      </c>
      <c r="V413">
        <v>1191400</v>
      </c>
      <c r="X413">
        <v>7148400</v>
      </c>
      <c r="AH413">
        <v>8339800</v>
      </c>
    </row>
    <row r="414" spans="1:34" hidden="1" x14ac:dyDescent="0.45">
      <c r="A414">
        <v>15799</v>
      </c>
      <c r="B414" t="s">
        <v>515</v>
      </c>
      <c r="C414" t="s">
        <v>36</v>
      </c>
      <c r="D414" t="s">
        <v>37</v>
      </c>
      <c r="E414" t="s">
        <v>38</v>
      </c>
      <c r="F414" t="s">
        <v>675</v>
      </c>
      <c r="G414">
        <v>4</v>
      </c>
      <c r="H414" t="s">
        <v>676</v>
      </c>
      <c r="I414" t="s">
        <v>677</v>
      </c>
      <c r="J414" t="s">
        <v>1133</v>
      </c>
      <c r="K414" t="s">
        <v>51</v>
      </c>
      <c r="L414" t="s">
        <v>741</v>
      </c>
      <c r="M414" s="2">
        <v>100000000</v>
      </c>
      <c r="N414" s="2">
        <v>25000000</v>
      </c>
      <c r="O414" s="2">
        <v>20000000</v>
      </c>
      <c r="P414" s="2">
        <v>5000000</v>
      </c>
      <c r="Q414" s="1">
        <v>46265</v>
      </c>
      <c r="R414" s="1">
        <v>46265</v>
      </c>
      <c r="S414">
        <v>20</v>
      </c>
      <c r="U414">
        <v>1250000</v>
      </c>
      <c r="X414">
        <v>3750000</v>
      </c>
      <c r="AH414">
        <v>5000000</v>
      </c>
    </row>
    <row r="415" spans="1:34" hidden="1" x14ac:dyDescent="0.45">
      <c r="A415">
        <v>15800</v>
      </c>
      <c r="B415" t="s">
        <v>515</v>
      </c>
      <c r="C415" t="s">
        <v>36</v>
      </c>
      <c r="D415" t="s">
        <v>37</v>
      </c>
      <c r="E415" t="s">
        <v>38</v>
      </c>
      <c r="F415" t="s">
        <v>675</v>
      </c>
      <c r="G415">
        <v>4</v>
      </c>
      <c r="H415" t="s">
        <v>676</v>
      </c>
      <c r="I415" t="s">
        <v>677</v>
      </c>
      <c r="J415" t="s">
        <v>1133</v>
      </c>
      <c r="K415" t="s">
        <v>51</v>
      </c>
      <c r="L415" t="s">
        <v>770</v>
      </c>
      <c r="M415" s="2">
        <v>50000000</v>
      </c>
      <c r="N415" s="2">
        <v>12500000</v>
      </c>
      <c r="O415" s="2">
        <v>10000000</v>
      </c>
      <c r="P415" s="2">
        <v>2500000</v>
      </c>
      <c r="Q415" s="1">
        <v>46265</v>
      </c>
      <c r="R415" s="1">
        <v>46295</v>
      </c>
      <c r="S415">
        <v>20</v>
      </c>
      <c r="U415">
        <v>625000</v>
      </c>
      <c r="X415">
        <v>1875000</v>
      </c>
      <c r="AH415">
        <v>2500000</v>
      </c>
    </row>
    <row r="416" spans="1:34" x14ac:dyDescent="0.45">
      <c r="A416">
        <v>15801</v>
      </c>
      <c r="B416" t="s">
        <v>617</v>
      </c>
      <c r="C416" t="s">
        <v>36</v>
      </c>
      <c r="D416" t="s">
        <v>37</v>
      </c>
      <c r="E416" t="s">
        <v>38</v>
      </c>
      <c r="F416" t="s">
        <v>776</v>
      </c>
      <c r="G416">
        <v>1</v>
      </c>
      <c r="H416" t="s">
        <v>777</v>
      </c>
      <c r="I416" t="s">
        <v>116</v>
      </c>
      <c r="J416" t="s">
        <v>1132</v>
      </c>
      <c r="K416" t="s">
        <v>42</v>
      </c>
      <c r="L416" t="s">
        <v>778</v>
      </c>
      <c r="M416" s="2">
        <v>450000000</v>
      </c>
      <c r="N416" s="2">
        <v>90000000</v>
      </c>
      <c r="O416" s="2">
        <v>225000000</v>
      </c>
      <c r="P416" s="2">
        <v>45000000</v>
      </c>
      <c r="Q416" s="1">
        <v>46444</v>
      </c>
      <c r="R416" s="1">
        <v>46535</v>
      </c>
      <c r="S416">
        <v>50</v>
      </c>
      <c r="V416">
        <v>45000000</v>
      </c>
      <c r="AH416">
        <v>45000000</v>
      </c>
    </row>
    <row r="417" spans="1:34" x14ac:dyDescent="0.45">
      <c r="A417">
        <v>15802</v>
      </c>
      <c r="B417" t="s">
        <v>617</v>
      </c>
      <c r="C417" t="s">
        <v>36</v>
      </c>
      <c r="D417" t="s">
        <v>37</v>
      </c>
      <c r="E417" t="s">
        <v>38</v>
      </c>
      <c r="F417" t="s">
        <v>776</v>
      </c>
      <c r="G417">
        <v>1</v>
      </c>
      <c r="H417" t="s">
        <v>777</v>
      </c>
      <c r="I417" t="s">
        <v>116</v>
      </c>
      <c r="J417" t="s">
        <v>1132</v>
      </c>
      <c r="K417" t="s">
        <v>42</v>
      </c>
      <c r="L417" t="s">
        <v>779</v>
      </c>
      <c r="M417" s="2">
        <v>750000000</v>
      </c>
      <c r="N417" s="2">
        <v>150000000</v>
      </c>
      <c r="O417" s="2">
        <v>375000000</v>
      </c>
      <c r="P417" s="2">
        <v>75000000</v>
      </c>
      <c r="Q417" s="1">
        <v>46444</v>
      </c>
      <c r="R417" s="1">
        <v>46721</v>
      </c>
      <c r="S417">
        <v>50</v>
      </c>
      <c r="V417">
        <v>75000000</v>
      </c>
      <c r="AH417">
        <v>75000000</v>
      </c>
    </row>
    <row r="418" spans="1:34" x14ac:dyDescent="0.45">
      <c r="A418">
        <v>15803</v>
      </c>
      <c r="B418" t="s">
        <v>617</v>
      </c>
      <c r="C418" t="s">
        <v>36</v>
      </c>
      <c r="D418" t="s">
        <v>37</v>
      </c>
      <c r="E418" t="s">
        <v>38</v>
      </c>
      <c r="F418" t="s">
        <v>776</v>
      </c>
      <c r="G418">
        <v>1</v>
      </c>
      <c r="H418" t="s">
        <v>777</v>
      </c>
      <c r="I418" t="s">
        <v>116</v>
      </c>
      <c r="J418" t="s">
        <v>1132</v>
      </c>
      <c r="K418" t="s">
        <v>42</v>
      </c>
      <c r="L418" t="s">
        <v>780</v>
      </c>
      <c r="M418" s="2">
        <v>300000000</v>
      </c>
      <c r="N418" s="2">
        <v>60000000</v>
      </c>
      <c r="O418" s="2">
        <v>150000000</v>
      </c>
      <c r="P418" s="2">
        <v>30000000</v>
      </c>
      <c r="Q418" s="1">
        <v>46444</v>
      </c>
      <c r="R418" s="1">
        <v>46843</v>
      </c>
      <c r="S418">
        <v>50</v>
      </c>
      <c r="V418">
        <v>30000000</v>
      </c>
      <c r="AH418">
        <v>30000000</v>
      </c>
    </row>
    <row r="419" spans="1:34" x14ac:dyDescent="0.45">
      <c r="A419">
        <v>15804</v>
      </c>
      <c r="B419" t="s">
        <v>617</v>
      </c>
      <c r="C419" t="s">
        <v>36</v>
      </c>
      <c r="D419" t="s">
        <v>37</v>
      </c>
      <c r="E419" t="s">
        <v>38</v>
      </c>
      <c r="F419" t="s">
        <v>679</v>
      </c>
      <c r="G419">
        <v>2</v>
      </c>
      <c r="H419" t="s">
        <v>680</v>
      </c>
      <c r="I419" t="s">
        <v>681</v>
      </c>
      <c r="J419" t="s">
        <v>1132</v>
      </c>
      <c r="K419" t="s">
        <v>66</v>
      </c>
      <c r="L419" t="s">
        <v>781</v>
      </c>
      <c r="M419" s="2">
        <v>50000000</v>
      </c>
      <c r="N419" s="2">
        <v>50000000</v>
      </c>
      <c r="O419" s="2">
        <v>25000000</v>
      </c>
      <c r="P419" s="2">
        <v>25000000</v>
      </c>
      <c r="Q419" s="1">
        <v>46203</v>
      </c>
      <c r="R419" s="1">
        <v>46262</v>
      </c>
      <c r="S419">
        <v>50</v>
      </c>
      <c r="X419">
        <v>25000000</v>
      </c>
      <c r="AH419">
        <v>25000000</v>
      </c>
    </row>
    <row r="420" spans="1:34" hidden="1" x14ac:dyDescent="0.45">
      <c r="A420">
        <v>15805</v>
      </c>
      <c r="B420" t="s">
        <v>448</v>
      </c>
      <c r="C420" t="s">
        <v>36</v>
      </c>
      <c r="D420" t="s">
        <v>37</v>
      </c>
      <c r="E420" t="s">
        <v>38</v>
      </c>
      <c r="F420" t="s">
        <v>782</v>
      </c>
      <c r="G420">
        <v>1</v>
      </c>
      <c r="H420" t="s">
        <v>783</v>
      </c>
      <c r="I420" t="s">
        <v>784</v>
      </c>
      <c r="J420" t="s">
        <v>1133</v>
      </c>
      <c r="K420" t="s">
        <v>42</v>
      </c>
      <c r="L420" t="s">
        <v>284</v>
      </c>
      <c r="M420" s="2">
        <v>2184980000</v>
      </c>
      <c r="N420" s="2">
        <v>209000000</v>
      </c>
      <c r="O420" s="2">
        <v>1092490000</v>
      </c>
      <c r="P420" s="2">
        <v>104500000</v>
      </c>
      <c r="Q420" s="1">
        <v>46203</v>
      </c>
      <c r="R420" s="1">
        <v>46203</v>
      </c>
      <c r="S420">
        <v>50</v>
      </c>
      <c r="V420">
        <v>104500000</v>
      </c>
      <c r="AH420">
        <v>104500000</v>
      </c>
    </row>
    <row r="421" spans="1:34" hidden="1" x14ac:dyDescent="0.45">
      <c r="A421">
        <v>15806</v>
      </c>
      <c r="B421" t="s">
        <v>448</v>
      </c>
      <c r="C421" t="s">
        <v>36</v>
      </c>
      <c r="D421" t="s">
        <v>37</v>
      </c>
      <c r="E421" t="s">
        <v>38</v>
      </c>
      <c r="F421" t="s">
        <v>534</v>
      </c>
      <c r="G421">
        <v>2</v>
      </c>
      <c r="H421" t="s">
        <v>535</v>
      </c>
      <c r="I421" t="s">
        <v>536</v>
      </c>
      <c r="J421" t="s">
        <v>1133</v>
      </c>
      <c r="K421" t="s">
        <v>66</v>
      </c>
      <c r="L421" t="s">
        <v>785</v>
      </c>
      <c r="M421" s="2">
        <v>74587500</v>
      </c>
      <c r="N421" s="2">
        <v>74587500</v>
      </c>
      <c r="O421" s="2">
        <v>37293750</v>
      </c>
      <c r="P421" s="2">
        <v>37293750</v>
      </c>
      <c r="Q421" s="1">
        <v>46173</v>
      </c>
      <c r="R421" s="1">
        <v>46234</v>
      </c>
      <c r="S421">
        <v>50</v>
      </c>
      <c r="X421">
        <v>37293750</v>
      </c>
      <c r="AH421">
        <v>37293750</v>
      </c>
    </row>
    <row r="422" spans="1:34" hidden="1" x14ac:dyDescent="0.45">
      <c r="A422">
        <v>15807</v>
      </c>
      <c r="B422" t="s">
        <v>448</v>
      </c>
      <c r="C422" t="s">
        <v>36</v>
      </c>
      <c r="D422" t="s">
        <v>37</v>
      </c>
      <c r="E422" t="s">
        <v>38</v>
      </c>
      <c r="F422" t="s">
        <v>786</v>
      </c>
      <c r="G422">
        <v>2</v>
      </c>
      <c r="H422" t="s">
        <v>787</v>
      </c>
      <c r="I422" t="s">
        <v>788</v>
      </c>
      <c r="J422" t="s">
        <v>1133</v>
      </c>
      <c r="K422" t="s">
        <v>66</v>
      </c>
      <c r="L422" t="s">
        <v>789</v>
      </c>
      <c r="M422" s="2">
        <v>123006400</v>
      </c>
      <c r="N422" s="2">
        <v>100000000</v>
      </c>
      <c r="O422" s="2">
        <v>61503200</v>
      </c>
      <c r="P422" s="2">
        <v>50000000</v>
      </c>
      <c r="Q422" s="1">
        <v>46203</v>
      </c>
      <c r="R422" s="1">
        <v>46203</v>
      </c>
      <c r="S422">
        <v>50</v>
      </c>
      <c r="U422">
        <v>19432300</v>
      </c>
      <c r="V422">
        <v>30567700</v>
      </c>
      <c r="AH422">
        <v>50000000</v>
      </c>
    </row>
    <row r="423" spans="1:34" hidden="1" x14ac:dyDescent="0.45">
      <c r="A423">
        <v>15808</v>
      </c>
      <c r="B423" t="s">
        <v>454</v>
      </c>
      <c r="C423" t="s">
        <v>36</v>
      </c>
      <c r="D423" t="s">
        <v>37</v>
      </c>
      <c r="E423" t="s">
        <v>38</v>
      </c>
      <c r="F423" t="s">
        <v>790</v>
      </c>
      <c r="G423">
        <v>2</v>
      </c>
      <c r="H423" t="s">
        <v>791</v>
      </c>
      <c r="I423" t="s">
        <v>503</v>
      </c>
      <c r="J423" t="s">
        <v>1131</v>
      </c>
      <c r="K423" t="s">
        <v>66</v>
      </c>
      <c r="L423" t="s">
        <v>220</v>
      </c>
      <c r="M423" s="2">
        <v>42525000</v>
      </c>
      <c r="N423" s="2">
        <v>42525000</v>
      </c>
      <c r="O423" s="2">
        <v>21262500</v>
      </c>
      <c r="P423" s="2">
        <v>21262500</v>
      </c>
      <c r="Q423" s="1">
        <v>46192</v>
      </c>
      <c r="R423" s="1">
        <v>46220</v>
      </c>
      <c r="S423">
        <v>50</v>
      </c>
      <c r="X423">
        <v>21262500</v>
      </c>
      <c r="AH423">
        <v>21262500</v>
      </c>
    </row>
    <row r="424" spans="1:34" hidden="1" x14ac:dyDescent="0.45">
      <c r="A424">
        <v>15809</v>
      </c>
      <c r="B424" t="s">
        <v>454</v>
      </c>
      <c r="C424" t="s">
        <v>36</v>
      </c>
      <c r="D424" t="s">
        <v>37</v>
      </c>
      <c r="E424" t="s">
        <v>38</v>
      </c>
      <c r="F424" t="s">
        <v>790</v>
      </c>
      <c r="G424">
        <v>2</v>
      </c>
      <c r="H424" t="s">
        <v>791</v>
      </c>
      <c r="I424" t="s">
        <v>503</v>
      </c>
      <c r="J424" t="s">
        <v>1131</v>
      </c>
      <c r="K424" t="s">
        <v>66</v>
      </c>
      <c r="L424" t="s">
        <v>253</v>
      </c>
      <c r="M424" s="2">
        <v>25515000</v>
      </c>
      <c r="N424" s="2">
        <v>25515000</v>
      </c>
      <c r="O424" s="2">
        <v>12757500</v>
      </c>
      <c r="P424" s="2">
        <v>12757500</v>
      </c>
      <c r="Q424" s="1">
        <v>46192</v>
      </c>
      <c r="R424" s="1">
        <v>46289</v>
      </c>
      <c r="S424">
        <v>50</v>
      </c>
      <c r="X424">
        <v>12757500</v>
      </c>
      <c r="AH424">
        <v>12757500</v>
      </c>
    </row>
    <row r="425" spans="1:34" hidden="1" x14ac:dyDescent="0.45">
      <c r="A425">
        <v>15810</v>
      </c>
      <c r="B425" t="s">
        <v>454</v>
      </c>
      <c r="C425" t="s">
        <v>36</v>
      </c>
      <c r="D425" t="s">
        <v>37</v>
      </c>
      <c r="E425" t="s">
        <v>38</v>
      </c>
      <c r="F425" t="s">
        <v>790</v>
      </c>
      <c r="G425">
        <v>2</v>
      </c>
      <c r="H425" t="s">
        <v>791</v>
      </c>
      <c r="I425" t="s">
        <v>503</v>
      </c>
      <c r="J425" t="s">
        <v>1131</v>
      </c>
      <c r="K425" t="s">
        <v>66</v>
      </c>
      <c r="L425" t="s">
        <v>792</v>
      </c>
      <c r="M425" s="2">
        <v>17010000</v>
      </c>
      <c r="N425" s="2">
        <v>17010000</v>
      </c>
      <c r="O425" s="2">
        <v>8505000</v>
      </c>
      <c r="P425" s="2">
        <v>8505000</v>
      </c>
      <c r="Q425" s="1">
        <v>46192</v>
      </c>
      <c r="R425" s="1">
        <v>46337</v>
      </c>
      <c r="S425">
        <v>50</v>
      </c>
      <c r="X425">
        <v>8505000</v>
      </c>
      <c r="AH425">
        <v>8505000</v>
      </c>
    </row>
    <row r="426" spans="1:34" hidden="1" x14ac:dyDescent="0.45">
      <c r="A426">
        <v>15811</v>
      </c>
      <c r="B426" t="s">
        <v>574</v>
      </c>
      <c r="C426" t="s">
        <v>36</v>
      </c>
      <c r="D426" t="s">
        <v>37</v>
      </c>
      <c r="E426" t="s">
        <v>38</v>
      </c>
      <c r="F426" t="s">
        <v>793</v>
      </c>
      <c r="G426">
        <v>3</v>
      </c>
      <c r="H426" t="s">
        <v>794</v>
      </c>
      <c r="I426" t="s">
        <v>643</v>
      </c>
      <c r="J426" t="s">
        <v>1131</v>
      </c>
      <c r="K426" t="s">
        <v>146</v>
      </c>
      <c r="L426" t="s">
        <v>795</v>
      </c>
      <c r="M426" s="2">
        <v>50000000</v>
      </c>
      <c r="N426" s="2">
        <v>50000000</v>
      </c>
      <c r="O426" s="2">
        <v>25000000</v>
      </c>
      <c r="P426" s="2">
        <v>25000000</v>
      </c>
      <c r="Q426" s="1">
        <v>46234</v>
      </c>
      <c r="R426" s="1">
        <v>46387</v>
      </c>
      <c r="S426">
        <v>50</v>
      </c>
      <c r="X426">
        <v>25000000</v>
      </c>
      <c r="AH426">
        <v>25000000</v>
      </c>
    </row>
    <row r="427" spans="1:34" hidden="1" x14ac:dyDescent="0.45">
      <c r="A427">
        <v>15812</v>
      </c>
      <c r="B427" t="s">
        <v>574</v>
      </c>
      <c r="C427" t="s">
        <v>36</v>
      </c>
      <c r="D427" t="s">
        <v>37</v>
      </c>
      <c r="E427" t="s">
        <v>38</v>
      </c>
      <c r="F427" t="s">
        <v>793</v>
      </c>
      <c r="G427">
        <v>3</v>
      </c>
      <c r="H427" t="s">
        <v>794</v>
      </c>
      <c r="I427" t="s">
        <v>643</v>
      </c>
      <c r="J427" t="s">
        <v>1131</v>
      </c>
      <c r="K427" t="s">
        <v>146</v>
      </c>
      <c r="L427" t="s">
        <v>796</v>
      </c>
      <c r="M427" s="2">
        <v>150000000</v>
      </c>
      <c r="N427" s="2">
        <v>150000000</v>
      </c>
      <c r="O427" s="2">
        <v>75000000</v>
      </c>
      <c r="P427" s="2">
        <v>75000000</v>
      </c>
      <c r="Q427" s="1">
        <v>46234</v>
      </c>
      <c r="R427" s="1">
        <v>46630</v>
      </c>
      <c r="S427">
        <v>50</v>
      </c>
      <c r="X427">
        <v>75000000</v>
      </c>
      <c r="AH427">
        <v>75000000</v>
      </c>
    </row>
    <row r="428" spans="1:34" hidden="1" x14ac:dyDescent="0.45">
      <c r="A428">
        <v>15813</v>
      </c>
      <c r="B428" t="s">
        <v>574</v>
      </c>
      <c r="C428" t="s">
        <v>36</v>
      </c>
      <c r="D428" t="s">
        <v>37</v>
      </c>
      <c r="E428" t="s">
        <v>38</v>
      </c>
      <c r="F428" t="s">
        <v>797</v>
      </c>
      <c r="G428">
        <v>3</v>
      </c>
      <c r="H428" t="s">
        <v>798</v>
      </c>
      <c r="I428" t="s">
        <v>671</v>
      </c>
      <c r="J428" t="s">
        <v>1133</v>
      </c>
      <c r="K428" t="s">
        <v>146</v>
      </c>
      <c r="L428" t="s">
        <v>102</v>
      </c>
      <c r="M428" s="2">
        <v>450000000</v>
      </c>
      <c r="N428" s="2">
        <v>83725000</v>
      </c>
      <c r="O428" s="2">
        <v>180000000</v>
      </c>
      <c r="P428" s="2">
        <v>33490000</v>
      </c>
      <c r="Q428" s="1">
        <v>46183</v>
      </c>
      <c r="R428" s="1">
        <v>46234</v>
      </c>
      <c r="S428">
        <v>40</v>
      </c>
      <c r="V428">
        <v>33490000</v>
      </c>
      <c r="AH428">
        <v>33490000</v>
      </c>
    </row>
    <row r="429" spans="1:34" hidden="1" x14ac:dyDescent="0.45">
      <c r="A429">
        <v>16811</v>
      </c>
      <c r="B429" t="s">
        <v>515</v>
      </c>
      <c r="C429" t="s">
        <v>36</v>
      </c>
      <c r="D429" t="s">
        <v>37</v>
      </c>
      <c r="E429" t="s">
        <v>38</v>
      </c>
      <c r="F429" t="s">
        <v>799</v>
      </c>
      <c r="G429">
        <v>2</v>
      </c>
      <c r="H429" t="s">
        <v>800</v>
      </c>
      <c r="I429" t="s">
        <v>423</v>
      </c>
      <c r="J429" t="s">
        <v>1133</v>
      </c>
      <c r="K429" t="s">
        <v>66</v>
      </c>
      <c r="L429" t="s">
        <v>518</v>
      </c>
      <c r="M429" s="2">
        <v>400000000</v>
      </c>
      <c r="N429" s="2">
        <v>45000000</v>
      </c>
      <c r="O429" s="2">
        <v>80000000</v>
      </c>
      <c r="P429" s="2">
        <v>9000000</v>
      </c>
      <c r="Q429" s="1">
        <v>46295</v>
      </c>
      <c r="R429" s="1">
        <v>46356</v>
      </c>
      <c r="S429">
        <v>20</v>
      </c>
      <c r="V429">
        <v>9000000</v>
      </c>
      <c r="AH429">
        <v>9000000</v>
      </c>
    </row>
    <row r="430" spans="1:34" hidden="1" x14ac:dyDescent="0.45">
      <c r="A430">
        <v>16812</v>
      </c>
      <c r="B430" t="s">
        <v>515</v>
      </c>
      <c r="C430" t="s">
        <v>36</v>
      </c>
      <c r="D430" t="s">
        <v>37</v>
      </c>
      <c r="E430" t="s">
        <v>38</v>
      </c>
      <c r="F430" t="s">
        <v>801</v>
      </c>
      <c r="G430">
        <v>2</v>
      </c>
      <c r="H430" t="s">
        <v>802</v>
      </c>
      <c r="I430" t="s">
        <v>152</v>
      </c>
      <c r="J430" t="s">
        <v>1131</v>
      </c>
      <c r="K430" t="s">
        <v>66</v>
      </c>
      <c r="L430" t="s">
        <v>803</v>
      </c>
      <c r="M430" s="2">
        <v>150000000</v>
      </c>
      <c r="N430" s="2">
        <v>150000000</v>
      </c>
      <c r="O430" s="2">
        <v>45000000</v>
      </c>
      <c r="P430" s="2">
        <v>45000000</v>
      </c>
      <c r="Q430" s="1">
        <v>46295</v>
      </c>
      <c r="R430" s="1">
        <v>46295</v>
      </c>
      <c r="S430">
        <v>30</v>
      </c>
      <c r="X430">
        <v>45000000</v>
      </c>
      <c r="AH430">
        <v>45000000</v>
      </c>
    </row>
    <row r="431" spans="1:34" hidden="1" x14ac:dyDescent="0.45">
      <c r="A431">
        <v>16813</v>
      </c>
      <c r="B431" t="s">
        <v>448</v>
      </c>
      <c r="C431" t="s">
        <v>36</v>
      </c>
      <c r="D431" t="s">
        <v>37</v>
      </c>
      <c r="E431" t="s">
        <v>38</v>
      </c>
      <c r="F431" t="s">
        <v>804</v>
      </c>
      <c r="G431">
        <v>1</v>
      </c>
      <c r="H431" t="s">
        <v>805</v>
      </c>
      <c r="I431" t="s">
        <v>806</v>
      </c>
      <c r="J431" t="s">
        <v>1132</v>
      </c>
      <c r="K431" t="s">
        <v>42</v>
      </c>
      <c r="L431" t="s">
        <v>567</v>
      </c>
      <c r="M431" s="2">
        <v>38775000</v>
      </c>
      <c r="N431" s="2">
        <v>25275000</v>
      </c>
      <c r="O431" s="2">
        <v>19387500</v>
      </c>
      <c r="P431" s="2">
        <v>12637500</v>
      </c>
      <c r="Q431" s="1">
        <v>46265</v>
      </c>
      <c r="R431" s="1">
        <v>46265</v>
      </c>
      <c r="S431">
        <v>50</v>
      </c>
      <c r="U431">
        <v>1687500</v>
      </c>
      <c r="X431">
        <v>10950000</v>
      </c>
      <c r="AH431">
        <v>12637500</v>
      </c>
    </row>
    <row r="432" spans="1:34" hidden="1" x14ac:dyDescent="0.45">
      <c r="A432">
        <v>16814</v>
      </c>
      <c r="B432" t="s">
        <v>448</v>
      </c>
      <c r="C432" t="s">
        <v>36</v>
      </c>
      <c r="D432" t="s">
        <v>37</v>
      </c>
      <c r="E432" t="s">
        <v>38</v>
      </c>
      <c r="F432" t="s">
        <v>804</v>
      </c>
      <c r="G432">
        <v>1</v>
      </c>
      <c r="H432" t="s">
        <v>805</v>
      </c>
      <c r="I432" t="s">
        <v>806</v>
      </c>
      <c r="J432" t="s">
        <v>1132</v>
      </c>
      <c r="K432" t="s">
        <v>42</v>
      </c>
      <c r="L432" t="s">
        <v>753</v>
      </c>
      <c r="M432" s="2">
        <v>51700000</v>
      </c>
      <c r="N432" s="2">
        <v>33700000</v>
      </c>
      <c r="O432" s="2">
        <v>25850000</v>
      </c>
      <c r="P432" s="2">
        <v>16850000</v>
      </c>
      <c r="Q432" s="1">
        <v>46265</v>
      </c>
      <c r="R432" s="1">
        <v>46326</v>
      </c>
      <c r="S432">
        <v>50</v>
      </c>
      <c r="U432">
        <v>2250000</v>
      </c>
      <c r="X432">
        <v>14600000</v>
      </c>
      <c r="AH432">
        <v>16850000</v>
      </c>
    </row>
    <row r="433" spans="1:34" hidden="1" x14ac:dyDescent="0.45">
      <c r="A433">
        <v>16815</v>
      </c>
      <c r="B433" t="s">
        <v>448</v>
      </c>
      <c r="C433" t="s">
        <v>36</v>
      </c>
      <c r="D433" t="s">
        <v>37</v>
      </c>
      <c r="E433" t="s">
        <v>38</v>
      </c>
      <c r="F433" t="s">
        <v>804</v>
      </c>
      <c r="G433">
        <v>1</v>
      </c>
      <c r="H433" t="s">
        <v>805</v>
      </c>
      <c r="I433" t="s">
        <v>806</v>
      </c>
      <c r="J433" t="s">
        <v>1132</v>
      </c>
      <c r="K433" t="s">
        <v>42</v>
      </c>
      <c r="L433" t="s">
        <v>807</v>
      </c>
      <c r="M433" s="2">
        <v>38775000</v>
      </c>
      <c r="N433" s="2">
        <v>25275000</v>
      </c>
      <c r="O433" s="2">
        <v>19387500</v>
      </c>
      <c r="P433" s="2">
        <v>12637500</v>
      </c>
      <c r="Q433" s="1">
        <v>46265</v>
      </c>
      <c r="R433" s="1">
        <v>46387</v>
      </c>
      <c r="S433">
        <v>50</v>
      </c>
      <c r="U433">
        <v>1687500</v>
      </c>
      <c r="X433">
        <v>10950000</v>
      </c>
      <c r="AH433">
        <v>12637500</v>
      </c>
    </row>
    <row r="434" spans="1:34" hidden="1" x14ac:dyDescent="0.45">
      <c r="A434">
        <v>16816</v>
      </c>
      <c r="B434" t="s">
        <v>574</v>
      </c>
      <c r="C434" t="s">
        <v>36</v>
      </c>
      <c r="D434" t="s">
        <v>37</v>
      </c>
      <c r="E434" t="s">
        <v>38</v>
      </c>
      <c r="F434" t="s">
        <v>808</v>
      </c>
      <c r="G434">
        <v>4</v>
      </c>
      <c r="H434" t="s">
        <v>809</v>
      </c>
      <c r="I434" t="s">
        <v>810</v>
      </c>
      <c r="J434" t="s">
        <v>1132</v>
      </c>
      <c r="K434" t="s">
        <v>51</v>
      </c>
      <c r="L434" t="s">
        <v>102</v>
      </c>
      <c r="M434" s="2">
        <v>450000000</v>
      </c>
      <c r="N434" s="2">
        <v>193500000</v>
      </c>
      <c r="O434" s="2">
        <v>180000000</v>
      </c>
      <c r="P434" s="2">
        <v>77400000</v>
      </c>
      <c r="Q434" s="1">
        <v>46233</v>
      </c>
      <c r="R434" s="1">
        <v>46265</v>
      </c>
      <c r="S434">
        <v>40</v>
      </c>
      <c r="V434">
        <v>77400000</v>
      </c>
      <c r="AH434">
        <v>77400000</v>
      </c>
    </row>
    <row r="435" spans="1:34" hidden="1" x14ac:dyDescent="0.45">
      <c r="A435">
        <v>16817</v>
      </c>
      <c r="B435" t="s">
        <v>574</v>
      </c>
      <c r="C435" t="s">
        <v>36</v>
      </c>
      <c r="D435" t="s">
        <v>37</v>
      </c>
      <c r="E435" t="s">
        <v>38</v>
      </c>
      <c r="F435" t="s">
        <v>731</v>
      </c>
      <c r="G435">
        <v>1</v>
      </c>
      <c r="H435" t="s">
        <v>732</v>
      </c>
      <c r="I435" t="s">
        <v>41</v>
      </c>
      <c r="J435" t="s">
        <v>1131</v>
      </c>
      <c r="K435" t="s">
        <v>42</v>
      </c>
      <c r="L435" t="s">
        <v>148</v>
      </c>
      <c r="M435" s="2">
        <v>120000000</v>
      </c>
      <c r="N435" s="2">
        <v>120000000</v>
      </c>
      <c r="O435" s="2">
        <v>48000000</v>
      </c>
      <c r="P435" s="2">
        <v>48000000</v>
      </c>
      <c r="Q435" s="1">
        <v>46203</v>
      </c>
      <c r="R435" s="1">
        <v>46265</v>
      </c>
      <c r="S435">
        <v>40</v>
      </c>
      <c r="X435">
        <v>48000000</v>
      </c>
      <c r="AH435">
        <v>48000000</v>
      </c>
    </row>
    <row r="436" spans="1:34" hidden="1" x14ac:dyDescent="0.45">
      <c r="A436">
        <v>16818</v>
      </c>
      <c r="B436" t="s">
        <v>574</v>
      </c>
      <c r="C436" t="s">
        <v>36</v>
      </c>
      <c r="D436" t="s">
        <v>37</v>
      </c>
      <c r="E436" t="s">
        <v>38</v>
      </c>
      <c r="F436" t="s">
        <v>731</v>
      </c>
      <c r="G436">
        <v>1</v>
      </c>
      <c r="H436" t="s">
        <v>732</v>
      </c>
      <c r="I436" t="s">
        <v>41</v>
      </c>
      <c r="J436" t="s">
        <v>1131</v>
      </c>
      <c r="K436" t="s">
        <v>42</v>
      </c>
      <c r="L436" t="s">
        <v>253</v>
      </c>
      <c r="M436" s="2">
        <v>120000000</v>
      </c>
      <c r="N436" s="2">
        <v>120000000</v>
      </c>
      <c r="O436" s="2">
        <v>48000000</v>
      </c>
      <c r="P436" s="2">
        <v>48000000</v>
      </c>
      <c r="Q436" s="1">
        <v>46203</v>
      </c>
      <c r="R436" s="1">
        <v>46356</v>
      </c>
      <c r="S436">
        <v>40</v>
      </c>
      <c r="X436">
        <v>48000000</v>
      </c>
      <c r="AH436">
        <v>48000000</v>
      </c>
    </row>
    <row r="437" spans="1:34" hidden="1" x14ac:dyDescent="0.45">
      <c r="A437">
        <v>16819</v>
      </c>
      <c r="B437" t="s">
        <v>574</v>
      </c>
      <c r="C437" t="s">
        <v>36</v>
      </c>
      <c r="D437" t="s">
        <v>37</v>
      </c>
      <c r="E437" t="s">
        <v>38</v>
      </c>
      <c r="F437" t="s">
        <v>731</v>
      </c>
      <c r="G437">
        <v>1</v>
      </c>
      <c r="H437" t="s">
        <v>732</v>
      </c>
      <c r="I437" t="s">
        <v>41</v>
      </c>
      <c r="J437" t="s">
        <v>1131</v>
      </c>
      <c r="K437" t="s">
        <v>42</v>
      </c>
      <c r="L437" t="s">
        <v>811</v>
      </c>
      <c r="M437" s="2">
        <v>80000000</v>
      </c>
      <c r="N437" s="2">
        <v>80000000</v>
      </c>
      <c r="O437" s="2">
        <v>32000000</v>
      </c>
      <c r="P437" s="2">
        <v>32000000</v>
      </c>
      <c r="Q437" s="1">
        <v>46203</v>
      </c>
      <c r="R437" s="1">
        <v>46477</v>
      </c>
      <c r="S437">
        <v>40</v>
      </c>
      <c r="X437">
        <v>32000000</v>
      </c>
      <c r="AH437">
        <v>32000000</v>
      </c>
    </row>
    <row r="438" spans="1:34" hidden="1" x14ac:dyDescent="0.45">
      <c r="A438">
        <v>16820</v>
      </c>
      <c r="B438" t="s">
        <v>574</v>
      </c>
      <c r="C438" t="s">
        <v>36</v>
      </c>
      <c r="D438" t="s">
        <v>37</v>
      </c>
      <c r="E438" t="s">
        <v>38</v>
      </c>
      <c r="F438" t="s">
        <v>812</v>
      </c>
      <c r="G438">
        <v>3</v>
      </c>
      <c r="H438" t="s">
        <v>813</v>
      </c>
      <c r="I438" t="s">
        <v>649</v>
      </c>
      <c r="J438" t="s">
        <v>1133</v>
      </c>
      <c r="K438" t="s">
        <v>146</v>
      </c>
      <c r="L438" t="s">
        <v>814</v>
      </c>
      <c r="M438" s="2">
        <v>40800000</v>
      </c>
      <c r="N438" s="2">
        <v>40800000</v>
      </c>
      <c r="O438" s="2">
        <v>16320000</v>
      </c>
      <c r="P438" s="2">
        <v>16320000</v>
      </c>
      <c r="Q438" s="1">
        <v>46173</v>
      </c>
      <c r="R438" s="1">
        <v>46325</v>
      </c>
      <c r="S438">
        <v>40</v>
      </c>
      <c r="X438">
        <v>16320000</v>
      </c>
      <c r="AH438">
        <v>16320000</v>
      </c>
    </row>
    <row r="439" spans="1:34" hidden="1" x14ac:dyDescent="0.45">
      <c r="A439">
        <v>16821</v>
      </c>
      <c r="B439" t="s">
        <v>574</v>
      </c>
      <c r="C439" t="s">
        <v>36</v>
      </c>
      <c r="D439" t="s">
        <v>37</v>
      </c>
      <c r="E439" t="s">
        <v>38</v>
      </c>
      <c r="F439" t="s">
        <v>812</v>
      </c>
      <c r="G439">
        <v>3</v>
      </c>
      <c r="H439" t="s">
        <v>813</v>
      </c>
      <c r="I439" t="s">
        <v>649</v>
      </c>
      <c r="J439" t="s">
        <v>1133</v>
      </c>
      <c r="K439" t="s">
        <v>146</v>
      </c>
      <c r="L439" t="s">
        <v>815</v>
      </c>
      <c r="M439" s="2">
        <v>7200000</v>
      </c>
      <c r="N439" s="2">
        <v>7200000</v>
      </c>
      <c r="O439" s="2">
        <v>2880000</v>
      </c>
      <c r="P439" s="2">
        <v>2880000</v>
      </c>
      <c r="Q439" s="1">
        <v>46173</v>
      </c>
      <c r="R439" s="1">
        <v>46387</v>
      </c>
      <c r="S439">
        <v>40</v>
      </c>
      <c r="X439">
        <v>2880000</v>
      </c>
      <c r="AH439">
        <v>2880000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8"/>
  <sheetViews>
    <sheetView workbookViewId="0"/>
  </sheetViews>
  <sheetFormatPr defaultRowHeight="14.25" x14ac:dyDescent="0.45"/>
  <cols>
    <col min="1" max="1" width="12.1328125" customWidth="1"/>
    <col min="2" max="2" width="46" customWidth="1"/>
    <col min="3" max="3" width="47.265625" customWidth="1"/>
    <col min="4" max="4" width="38.73046875" customWidth="1"/>
    <col min="5" max="5" width="13.46484375" customWidth="1"/>
    <col min="6" max="6" width="13.19921875" customWidth="1"/>
    <col min="7" max="7" width="12.46484375" customWidth="1"/>
    <col min="8" max="8" width="16.46484375" customWidth="1"/>
    <col min="9" max="9" width="13" customWidth="1"/>
    <col min="10" max="10" width="19" customWidth="1"/>
    <col min="11" max="11" width="13.265625" customWidth="1"/>
    <col min="12" max="12" width="40.19921875" customWidth="1"/>
    <col min="13" max="13" width="19.265625" customWidth="1"/>
    <col min="14" max="14" width="26.73046875" customWidth="1"/>
  </cols>
  <sheetData>
    <row r="1" spans="1:14" x14ac:dyDescent="0.45">
      <c r="A1" t="s">
        <v>5</v>
      </c>
      <c r="B1" t="s">
        <v>816</v>
      </c>
      <c r="C1" t="s">
        <v>817</v>
      </c>
      <c r="D1" t="s">
        <v>8</v>
      </c>
      <c r="E1" t="s">
        <v>818</v>
      </c>
      <c r="F1" t="s">
        <v>819</v>
      </c>
      <c r="G1" t="s">
        <v>12</v>
      </c>
      <c r="H1" t="s">
        <v>820</v>
      </c>
      <c r="I1" t="s">
        <v>14</v>
      </c>
      <c r="J1" t="s">
        <v>17</v>
      </c>
      <c r="K1" t="s">
        <v>821</v>
      </c>
      <c r="L1" t="s">
        <v>4</v>
      </c>
      <c r="M1" t="s">
        <v>9</v>
      </c>
      <c r="N1" t="s">
        <v>15</v>
      </c>
    </row>
    <row r="2" spans="1:14" x14ac:dyDescent="0.45">
      <c r="A2" t="s">
        <v>822</v>
      </c>
      <c r="B2" t="s">
        <v>823</v>
      </c>
      <c r="C2" t="s">
        <v>824</v>
      </c>
      <c r="D2" t="s">
        <v>643</v>
      </c>
      <c r="E2">
        <v>100000000</v>
      </c>
      <c r="F2">
        <v>0</v>
      </c>
      <c r="G2">
        <v>100000000</v>
      </c>
      <c r="H2">
        <v>50000000</v>
      </c>
      <c r="I2">
        <v>50000000</v>
      </c>
      <c r="J2">
        <v>50</v>
      </c>
      <c r="K2" t="s">
        <v>32</v>
      </c>
      <c r="L2" t="s">
        <v>825</v>
      </c>
      <c r="M2" t="s">
        <v>51</v>
      </c>
      <c r="N2" s="1">
        <v>44533</v>
      </c>
    </row>
    <row r="3" spans="1:14" x14ac:dyDescent="0.45">
      <c r="A3" t="s">
        <v>39</v>
      </c>
      <c r="B3" t="s">
        <v>826</v>
      </c>
      <c r="C3" t="s">
        <v>827</v>
      </c>
      <c r="D3" t="s">
        <v>41</v>
      </c>
      <c r="E3">
        <v>350000000</v>
      </c>
      <c r="F3">
        <v>0</v>
      </c>
      <c r="G3">
        <v>350000000</v>
      </c>
      <c r="H3">
        <v>175000000</v>
      </c>
      <c r="I3">
        <v>175000000</v>
      </c>
      <c r="J3">
        <v>50</v>
      </c>
      <c r="K3" t="s">
        <v>32</v>
      </c>
      <c r="L3" t="s">
        <v>828</v>
      </c>
      <c r="M3" t="s">
        <v>42</v>
      </c>
      <c r="N3" s="1">
        <v>45380</v>
      </c>
    </row>
    <row r="4" spans="1:14" x14ac:dyDescent="0.45">
      <c r="A4" t="s">
        <v>48</v>
      </c>
      <c r="B4" t="s">
        <v>829</v>
      </c>
      <c r="C4" t="s">
        <v>830</v>
      </c>
      <c r="D4" t="s">
        <v>50</v>
      </c>
      <c r="E4">
        <v>342000000</v>
      </c>
      <c r="F4">
        <v>0</v>
      </c>
      <c r="G4">
        <v>342000000</v>
      </c>
      <c r="H4">
        <v>102600000</v>
      </c>
      <c r="I4">
        <v>102600000</v>
      </c>
      <c r="J4">
        <v>30</v>
      </c>
      <c r="K4" t="s">
        <v>29</v>
      </c>
      <c r="L4" t="s">
        <v>831</v>
      </c>
      <c r="M4" t="s">
        <v>51</v>
      </c>
      <c r="N4" s="1">
        <v>45625</v>
      </c>
    </row>
    <row r="5" spans="1:14" x14ac:dyDescent="0.45">
      <c r="A5" t="s">
        <v>59</v>
      </c>
      <c r="B5" t="s">
        <v>832</v>
      </c>
      <c r="C5" t="s">
        <v>833</v>
      </c>
      <c r="D5" t="s">
        <v>61</v>
      </c>
      <c r="E5">
        <v>1700000000</v>
      </c>
      <c r="F5">
        <v>983488571</v>
      </c>
      <c r="G5">
        <v>716511429</v>
      </c>
      <c r="H5">
        <v>340000000</v>
      </c>
      <c r="I5">
        <v>143302285.80000001</v>
      </c>
      <c r="J5">
        <v>20</v>
      </c>
      <c r="K5" t="s">
        <v>25</v>
      </c>
      <c r="L5" t="s">
        <v>834</v>
      </c>
      <c r="M5" t="s">
        <v>51</v>
      </c>
      <c r="N5" s="1">
        <v>45473</v>
      </c>
    </row>
    <row r="6" spans="1:14" x14ac:dyDescent="0.45">
      <c r="A6" t="s">
        <v>53</v>
      </c>
      <c r="B6" t="s">
        <v>835</v>
      </c>
      <c r="C6" t="s">
        <v>836</v>
      </c>
      <c r="D6" t="s">
        <v>55</v>
      </c>
      <c r="E6">
        <v>2000000000</v>
      </c>
      <c r="F6">
        <v>0</v>
      </c>
      <c r="G6">
        <v>2000000000</v>
      </c>
      <c r="H6">
        <v>400000000</v>
      </c>
      <c r="I6">
        <v>400000000</v>
      </c>
      <c r="J6">
        <v>20</v>
      </c>
      <c r="K6" t="s">
        <v>29</v>
      </c>
      <c r="L6" t="s">
        <v>837</v>
      </c>
      <c r="M6" t="s">
        <v>51</v>
      </c>
      <c r="N6" s="1">
        <v>45716</v>
      </c>
    </row>
    <row r="7" spans="1:14" x14ac:dyDescent="0.45">
      <c r="A7" t="s">
        <v>63</v>
      </c>
      <c r="B7" t="s">
        <v>838</v>
      </c>
      <c r="C7" t="s">
        <v>673</v>
      </c>
      <c r="D7" t="s">
        <v>65</v>
      </c>
      <c r="E7">
        <v>700000000</v>
      </c>
      <c r="F7">
        <v>600000000</v>
      </c>
      <c r="G7">
        <v>100000000</v>
      </c>
      <c r="H7">
        <v>350000000</v>
      </c>
      <c r="I7">
        <v>50000000</v>
      </c>
      <c r="J7">
        <v>50</v>
      </c>
      <c r="K7" t="s">
        <v>32</v>
      </c>
      <c r="L7" t="s">
        <v>839</v>
      </c>
      <c r="M7" t="s">
        <v>66</v>
      </c>
      <c r="N7" s="1">
        <v>45345</v>
      </c>
    </row>
    <row r="8" spans="1:14" x14ac:dyDescent="0.45">
      <c r="A8" t="s">
        <v>67</v>
      </c>
      <c r="B8" t="s">
        <v>840</v>
      </c>
      <c r="C8" t="s">
        <v>841</v>
      </c>
      <c r="D8" t="s">
        <v>69</v>
      </c>
      <c r="E8">
        <v>2000000000</v>
      </c>
      <c r="F8">
        <v>1500000000</v>
      </c>
      <c r="G8">
        <v>500000000</v>
      </c>
      <c r="H8">
        <v>200000000</v>
      </c>
      <c r="I8">
        <v>50000000</v>
      </c>
      <c r="J8">
        <v>10</v>
      </c>
      <c r="K8" t="s">
        <v>34</v>
      </c>
      <c r="L8" t="s">
        <v>842</v>
      </c>
      <c r="M8" t="s">
        <v>66</v>
      </c>
      <c r="N8" s="1">
        <v>45596</v>
      </c>
    </row>
    <row r="9" spans="1:14" x14ac:dyDescent="0.45">
      <c r="A9" t="s">
        <v>67</v>
      </c>
      <c r="B9" t="s">
        <v>843</v>
      </c>
      <c r="C9" t="s">
        <v>841</v>
      </c>
      <c r="D9" t="s">
        <v>69</v>
      </c>
      <c r="E9">
        <v>3000000000</v>
      </c>
      <c r="F9">
        <v>2500000000</v>
      </c>
      <c r="G9">
        <v>500000000</v>
      </c>
      <c r="H9">
        <v>300000000</v>
      </c>
      <c r="I9">
        <v>50000000</v>
      </c>
      <c r="J9">
        <v>10</v>
      </c>
      <c r="K9" t="s">
        <v>29</v>
      </c>
      <c r="L9" t="s">
        <v>844</v>
      </c>
      <c r="M9" t="s">
        <v>66</v>
      </c>
      <c r="N9" s="1">
        <v>45596</v>
      </c>
    </row>
    <row r="10" spans="1:14" x14ac:dyDescent="0.45">
      <c r="A10" t="s">
        <v>71</v>
      </c>
      <c r="B10" t="s">
        <v>845</v>
      </c>
      <c r="C10" t="s">
        <v>846</v>
      </c>
      <c r="D10" t="s">
        <v>50</v>
      </c>
      <c r="E10">
        <v>68400000</v>
      </c>
      <c r="F10">
        <v>0</v>
      </c>
      <c r="G10">
        <v>68400000</v>
      </c>
      <c r="H10">
        <v>20520000</v>
      </c>
      <c r="I10">
        <v>20520000</v>
      </c>
      <c r="J10">
        <v>30</v>
      </c>
      <c r="K10" t="s">
        <v>29</v>
      </c>
      <c r="L10" t="s">
        <v>847</v>
      </c>
      <c r="M10" t="s">
        <v>51</v>
      </c>
      <c r="N10" s="1">
        <v>45625</v>
      </c>
    </row>
    <row r="11" spans="1:14" x14ac:dyDescent="0.45">
      <c r="A11" t="s">
        <v>73</v>
      </c>
      <c r="B11" t="s">
        <v>848</v>
      </c>
      <c r="C11" t="s">
        <v>849</v>
      </c>
      <c r="D11" t="s">
        <v>41</v>
      </c>
      <c r="E11">
        <v>100000000</v>
      </c>
      <c r="F11">
        <v>0</v>
      </c>
      <c r="G11">
        <v>100000000</v>
      </c>
      <c r="H11">
        <v>50000000</v>
      </c>
      <c r="I11">
        <v>50000000</v>
      </c>
      <c r="J11">
        <v>50</v>
      </c>
      <c r="K11" t="s">
        <v>32</v>
      </c>
      <c r="L11" t="s">
        <v>850</v>
      </c>
      <c r="M11" t="s">
        <v>66</v>
      </c>
      <c r="N11" s="1">
        <v>45408</v>
      </c>
    </row>
    <row r="12" spans="1:14" x14ac:dyDescent="0.45">
      <c r="A12" t="s">
        <v>75</v>
      </c>
      <c r="B12" t="s">
        <v>851</v>
      </c>
      <c r="C12" t="s">
        <v>852</v>
      </c>
      <c r="D12" t="s">
        <v>41</v>
      </c>
      <c r="E12">
        <v>40150000</v>
      </c>
      <c r="F12">
        <v>0</v>
      </c>
      <c r="G12">
        <v>40150000</v>
      </c>
      <c r="H12">
        <v>18067500</v>
      </c>
      <c r="I12">
        <v>18067500</v>
      </c>
      <c r="J12">
        <v>45</v>
      </c>
      <c r="K12" t="s">
        <v>31</v>
      </c>
      <c r="L12" t="s">
        <v>853</v>
      </c>
      <c r="M12" t="s">
        <v>51</v>
      </c>
      <c r="N12" s="1">
        <v>45504</v>
      </c>
    </row>
    <row r="13" spans="1:14" x14ac:dyDescent="0.45">
      <c r="A13" t="s">
        <v>79</v>
      </c>
      <c r="B13" t="s">
        <v>851</v>
      </c>
      <c r="C13" t="s">
        <v>854</v>
      </c>
      <c r="D13" t="s">
        <v>41</v>
      </c>
      <c r="E13">
        <v>106250000</v>
      </c>
      <c r="F13">
        <v>0</v>
      </c>
      <c r="G13">
        <v>106250000</v>
      </c>
      <c r="H13">
        <v>47812500</v>
      </c>
      <c r="I13">
        <v>47812500</v>
      </c>
      <c r="J13">
        <v>45</v>
      </c>
      <c r="K13" t="s">
        <v>31</v>
      </c>
      <c r="L13" t="s">
        <v>853</v>
      </c>
      <c r="M13" t="s">
        <v>51</v>
      </c>
      <c r="N13" s="1">
        <v>45504</v>
      </c>
    </row>
    <row r="14" spans="1:14" x14ac:dyDescent="0.45">
      <c r="A14" t="s">
        <v>81</v>
      </c>
      <c r="B14" t="s">
        <v>848</v>
      </c>
      <c r="C14" t="s">
        <v>82</v>
      </c>
      <c r="D14" t="s">
        <v>41</v>
      </c>
      <c r="E14">
        <v>120000000</v>
      </c>
      <c r="F14">
        <v>0</v>
      </c>
      <c r="G14">
        <v>120000000</v>
      </c>
      <c r="H14">
        <v>60000000</v>
      </c>
      <c r="I14">
        <v>60000000</v>
      </c>
      <c r="J14">
        <v>50</v>
      </c>
      <c r="K14" t="s">
        <v>32</v>
      </c>
      <c r="L14" t="s">
        <v>850</v>
      </c>
      <c r="M14" t="s">
        <v>66</v>
      </c>
      <c r="N14" s="1">
        <v>45373</v>
      </c>
    </row>
    <row r="15" spans="1:14" x14ac:dyDescent="0.45">
      <c r="A15" t="s">
        <v>85</v>
      </c>
      <c r="B15" t="s">
        <v>855</v>
      </c>
      <c r="C15" t="s">
        <v>86</v>
      </c>
      <c r="D15" t="s">
        <v>87</v>
      </c>
      <c r="E15">
        <v>300000000</v>
      </c>
      <c r="F15">
        <v>0</v>
      </c>
      <c r="G15">
        <v>300000000</v>
      </c>
      <c r="H15">
        <v>150000000</v>
      </c>
      <c r="I15">
        <v>150000000</v>
      </c>
      <c r="J15">
        <v>50</v>
      </c>
      <c r="K15" t="s">
        <v>32</v>
      </c>
      <c r="L15" t="s">
        <v>839</v>
      </c>
      <c r="M15" t="s">
        <v>66</v>
      </c>
      <c r="N15" s="1">
        <v>45345</v>
      </c>
    </row>
    <row r="16" spans="1:14" x14ac:dyDescent="0.45">
      <c r="A16" t="s">
        <v>89</v>
      </c>
      <c r="B16" t="s">
        <v>856</v>
      </c>
      <c r="C16" t="s">
        <v>857</v>
      </c>
      <c r="D16" t="s">
        <v>91</v>
      </c>
      <c r="E16">
        <v>450000000</v>
      </c>
      <c r="F16">
        <v>0</v>
      </c>
      <c r="G16">
        <v>450000000</v>
      </c>
      <c r="H16">
        <v>135000000</v>
      </c>
      <c r="I16">
        <v>135000000</v>
      </c>
      <c r="J16">
        <v>30</v>
      </c>
      <c r="K16" t="s">
        <v>29</v>
      </c>
      <c r="L16" t="s">
        <v>831</v>
      </c>
      <c r="M16" t="s">
        <v>51</v>
      </c>
      <c r="N16" s="1">
        <v>45443</v>
      </c>
    </row>
    <row r="17" spans="1:14" x14ac:dyDescent="0.45">
      <c r="A17" t="s">
        <v>89</v>
      </c>
      <c r="B17" t="s">
        <v>845</v>
      </c>
      <c r="C17" t="s">
        <v>841</v>
      </c>
      <c r="D17" t="s">
        <v>91</v>
      </c>
      <c r="E17">
        <v>850000000</v>
      </c>
      <c r="F17">
        <v>0</v>
      </c>
      <c r="G17">
        <v>850000000</v>
      </c>
      <c r="H17">
        <v>255000000</v>
      </c>
      <c r="I17">
        <v>255000000</v>
      </c>
      <c r="J17">
        <v>30</v>
      </c>
      <c r="K17" t="s">
        <v>29</v>
      </c>
      <c r="L17" t="s">
        <v>847</v>
      </c>
      <c r="M17" t="s">
        <v>51</v>
      </c>
      <c r="N17" s="1">
        <v>45443</v>
      </c>
    </row>
    <row r="18" spans="1:14" x14ac:dyDescent="0.45">
      <c r="A18" t="s">
        <v>89</v>
      </c>
      <c r="B18" t="s">
        <v>829</v>
      </c>
      <c r="C18" t="s">
        <v>858</v>
      </c>
      <c r="D18" t="s">
        <v>91</v>
      </c>
      <c r="E18">
        <v>90000000</v>
      </c>
      <c r="F18">
        <v>0</v>
      </c>
      <c r="G18">
        <v>90000000</v>
      </c>
      <c r="H18">
        <v>27000000</v>
      </c>
      <c r="I18">
        <v>27000000</v>
      </c>
      <c r="J18">
        <v>30</v>
      </c>
      <c r="K18" t="s">
        <v>29</v>
      </c>
      <c r="L18" t="s">
        <v>831</v>
      </c>
      <c r="M18" t="s">
        <v>51</v>
      </c>
      <c r="N18" s="1">
        <v>45443</v>
      </c>
    </row>
    <row r="19" spans="1:14" x14ac:dyDescent="0.45">
      <c r="A19" t="s">
        <v>93</v>
      </c>
      <c r="B19" t="s">
        <v>859</v>
      </c>
      <c r="C19" t="s">
        <v>860</v>
      </c>
      <c r="D19" t="s">
        <v>95</v>
      </c>
      <c r="E19">
        <v>1000000000</v>
      </c>
      <c r="F19">
        <v>0</v>
      </c>
      <c r="G19">
        <v>1000000000</v>
      </c>
      <c r="H19">
        <v>700000000</v>
      </c>
      <c r="I19">
        <v>700000000</v>
      </c>
      <c r="J19">
        <v>70</v>
      </c>
      <c r="K19" t="s">
        <v>27</v>
      </c>
      <c r="L19" t="s">
        <v>861</v>
      </c>
      <c r="M19" t="s">
        <v>51</v>
      </c>
      <c r="N19" s="1">
        <v>45777</v>
      </c>
    </row>
    <row r="20" spans="1:14" x14ac:dyDescent="0.45">
      <c r="A20" t="s">
        <v>97</v>
      </c>
      <c r="B20" t="s">
        <v>862</v>
      </c>
      <c r="C20" t="s">
        <v>863</v>
      </c>
      <c r="D20" t="s">
        <v>99</v>
      </c>
      <c r="E20">
        <v>1000000000</v>
      </c>
      <c r="F20">
        <v>850000000</v>
      </c>
      <c r="G20">
        <v>150000000</v>
      </c>
      <c r="H20">
        <v>400000000</v>
      </c>
      <c r="I20">
        <v>60000000</v>
      </c>
      <c r="J20">
        <v>40</v>
      </c>
      <c r="K20" t="s">
        <v>34</v>
      </c>
      <c r="L20" t="s">
        <v>842</v>
      </c>
      <c r="M20" t="s">
        <v>51</v>
      </c>
      <c r="N20" s="1">
        <v>45504</v>
      </c>
    </row>
    <row r="21" spans="1:14" x14ac:dyDescent="0.45">
      <c r="A21" t="s">
        <v>100</v>
      </c>
      <c r="B21" t="s">
        <v>864</v>
      </c>
      <c r="C21" t="s">
        <v>865</v>
      </c>
      <c r="D21" t="s">
        <v>41</v>
      </c>
      <c r="E21">
        <v>495000000</v>
      </c>
      <c r="F21">
        <v>0</v>
      </c>
      <c r="G21">
        <v>495000000</v>
      </c>
      <c r="H21">
        <v>396000000</v>
      </c>
      <c r="I21">
        <v>396000000</v>
      </c>
      <c r="J21">
        <v>80</v>
      </c>
      <c r="K21" t="s">
        <v>31</v>
      </c>
      <c r="L21" t="s">
        <v>853</v>
      </c>
      <c r="M21" t="s">
        <v>51</v>
      </c>
      <c r="N21" s="1">
        <v>45688</v>
      </c>
    </row>
    <row r="22" spans="1:14" x14ac:dyDescent="0.45">
      <c r="A22" t="s">
        <v>103</v>
      </c>
      <c r="B22" t="s">
        <v>851</v>
      </c>
      <c r="C22" t="s">
        <v>866</v>
      </c>
      <c r="D22" t="s">
        <v>41</v>
      </c>
      <c r="E22">
        <v>100000000</v>
      </c>
      <c r="F22">
        <v>0</v>
      </c>
      <c r="G22">
        <v>100000000</v>
      </c>
      <c r="H22">
        <v>45000000</v>
      </c>
      <c r="I22">
        <v>45000000</v>
      </c>
      <c r="J22">
        <v>45</v>
      </c>
      <c r="K22" t="s">
        <v>31</v>
      </c>
      <c r="L22" t="s">
        <v>853</v>
      </c>
      <c r="M22" t="s">
        <v>51</v>
      </c>
      <c r="N22" s="1">
        <v>45504</v>
      </c>
    </row>
    <row r="23" spans="1:14" x14ac:dyDescent="0.45">
      <c r="A23" t="s">
        <v>105</v>
      </c>
      <c r="B23" t="s">
        <v>867</v>
      </c>
      <c r="C23" t="s">
        <v>868</v>
      </c>
      <c r="D23" t="s">
        <v>107</v>
      </c>
      <c r="E23">
        <v>385000000</v>
      </c>
      <c r="F23">
        <v>0</v>
      </c>
      <c r="G23">
        <v>385000000</v>
      </c>
      <c r="H23">
        <v>96250000</v>
      </c>
      <c r="I23">
        <v>96250000</v>
      </c>
      <c r="J23">
        <v>25</v>
      </c>
      <c r="K23" t="s">
        <v>27</v>
      </c>
      <c r="L23" t="s">
        <v>869</v>
      </c>
      <c r="M23" t="s">
        <v>42</v>
      </c>
      <c r="N23" s="1">
        <v>45596</v>
      </c>
    </row>
    <row r="24" spans="1:14" x14ac:dyDescent="0.45">
      <c r="A24" t="s">
        <v>109</v>
      </c>
      <c r="B24" t="s">
        <v>835</v>
      </c>
      <c r="C24" t="s">
        <v>860</v>
      </c>
      <c r="D24" t="s">
        <v>111</v>
      </c>
      <c r="E24">
        <v>2000000000</v>
      </c>
      <c r="F24">
        <v>0</v>
      </c>
      <c r="G24">
        <v>2000000000</v>
      </c>
      <c r="H24">
        <v>1600000000</v>
      </c>
      <c r="I24">
        <v>1600000000</v>
      </c>
      <c r="J24">
        <v>80</v>
      </c>
      <c r="K24" t="s">
        <v>29</v>
      </c>
      <c r="L24" t="s">
        <v>837</v>
      </c>
      <c r="M24" t="s">
        <v>51</v>
      </c>
      <c r="N24" s="1">
        <v>45504</v>
      </c>
    </row>
    <row r="25" spans="1:14" x14ac:dyDescent="0.45">
      <c r="A25" t="s">
        <v>114</v>
      </c>
      <c r="B25" t="s">
        <v>845</v>
      </c>
      <c r="C25" t="s">
        <v>870</v>
      </c>
      <c r="D25" t="s">
        <v>116</v>
      </c>
      <c r="E25">
        <v>1000000000</v>
      </c>
      <c r="F25">
        <v>0</v>
      </c>
      <c r="G25">
        <v>1000000000</v>
      </c>
      <c r="H25">
        <v>300000000</v>
      </c>
      <c r="I25">
        <v>300000000</v>
      </c>
      <c r="J25">
        <v>30</v>
      </c>
      <c r="K25" t="s">
        <v>29</v>
      </c>
      <c r="L25" t="s">
        <v>847</v>
      </c>
      <c r="M25" t="s">
        <v>66</v>
      </c>
      <c r="N25" s="1">
        <v>45565</v>
      </c>
    </row>
    <row r="26" spans="1:14" x14ac:dyDescent="0.45">
      <c r="A26" t="s">
        <v>157</v>
      </c>
      <c r="B26" t="s">
        <v>845</v>
      </c>
      <c r="C26" t="s">
        <v>830</v>
      </c>
      <c r="D26" t="s">
        <v>50</v>
      </c>
      <c r="E26">
        <v>581400000</v>
      </c>
      <c r="F26">
        <v>0</v>
      </c>
      <c r="G26">
        <v>581400000</v>
      </c>
      <c r="H26">
        <v>174420000</v>
      </c>
      <c r="I26">
        <v>174420000</v>
      </c>
      <c r="J26">
        <v>30</v>
      </c>
      <c r="K26" t="s">
        <v>29</v>
      </c>
      <c r="L26" t="s">
        <v>847</v>
      </c>
      <c r="M26" t="s">
        <v>146</v>
      </c>
      <c r="N26" s="1">
        <v>45471</v>
      </c>
    </row>
    <row r="27" spans="1:14" x14ac:dyDescent="0.45">
      <c r="A27" t="s">
        <v>122</v>
      </c>
      <c r="B27" t="s">
        <v>871</v>
      </c>
      <c r="C27" t="s">
        <v>872</v>
      </c>
      <c r="D27" t="s">
        <v>124</v>
      </c>
      <c r="E27">
        <v>145000000</v>
      </c>
      <c r="F27">
        <v>100000000</v>
      </c>
      <c r="G27">
        <v>45000000</v>
      </c>
      <c r="H27">
        <v>43500000</v>
      </c>
      <c r="I27">
        <v>13500000</v>
      </c>
      <c r="J27">
        <v>30</v>
      </c>
      <c r="K27" t="s">
        <v>32</v>
      </c>
      <c r="L27" t="s">
        <v>839</v>
      </c>
      <c r="M27" t="s">
        <v>66</v>
      </c>
      <c r="N27" s="1">
        <v>45380</v>
      </c>
    </row>
    <row r="28" spans="1:14" x14ac:dyDescent="0.45">
      <c r="A28" t="s">
        <v>126</v>
      </c>
      <c r="B28" t="s">
        <v>873</v>
      </c>
      <c r="C28" t="s">
        <v>874</v>
      </c>
      <c r="D28" t="s">
        <v>128</v>
      </c>
      <c r="E28">
        <v>500000000</v>
      </c>
      <c r="F28">
        <v>0</v>
      </c>
      <c r="G28">
        <v>500000000</v>
      </c>
      <c r="H28">
        <v>150000000</v>
      </c>
      <c r="I28">
        <v>150000000</v>
      </c>
      <c r="J28">
        <v>30</v>
      </c>
      <c r="K28" t="s">
        <v>24</v>
      </c>
      <c r="L28" t="s">
        <v>47</v>
      </c>
      <c r="M28" t="s">
        <v>51</v>
      </c>
      <c r="N28" s="1">
        <v>45626</v>
      </c>
    </row>
    <row r="29" spans="1:14" x14ac:dyDescent="0.45">
      <c r="A29" t="s">
        <v>131</v>
      </c>
      <c r="B29" t="s">
        <v>871</v>
      </c>
      <c r="C29" t="s">
        <v>875</v>
      </c>
      <c r="D29" t="s">
        <v>46</v>
      </c>
      <c r="E29">
        <v>406761563</v>
      </c>
      <c r="F29">
        <v>289490000</v>
      </c>
      <c r="G29">
        <v>117271563</v>
      </c>
      <c r="H29">
        <v>203380781.5</v>
      </c>
      <c r="I29">
        <v>58635781.5</v>
      </c>
      <c r="J29">
        <v>50</v>
      </c>
      <c r="K29" t="s">
        <v>32</v>
      </c>
      <c r="L29" t="s">
        <v>839</v>
      </c>
      <c r="M29" t="s">
        <v>42</v>
      </c>
      <c r="N29" s="1">
        <v>45390</v>
      </c>
    </row>
    <row r="30" spans="1:14" x14ac:dyDescent="0.45">
      <c r="A30" t="s">
        <v>133</v>
      </c>
      <c r="B30" t="s">
        <v>876</v>
      </c>
      <c r="C30" t="s">
        <v>877</v>
      </c>
      <c r="D30" t="s">
        <v>135</v>
      </c>
      <c r="E30">
        <v>500000000</v>
      </c>
      <c r="F30">
        <v>200000000</v>
      </c>
      <c r="G30">
        <v>300000000</v>
      </c>
      <c r="H30">
        <v>250000000</v>
      </c>
      <c r="I30">
        <v>150000000</v>
      </c>
      <c r="J30">
        <v>50</v>
      </c>
      <c r="K30" t="s">
        <v>28</v>
      </c>
      <c r="L30" t="s">
        <v>878</v>
      </c>
      <c r="M30" t="s">
        <v>51</v>
      </c>
      <c r="N30" s="1">
        <v>45777</v>
      </c>
    </row>
    <row r="31" spans="1:14" x14ac:dyDescent="0.45">
      <c r="A31" t="s">
        <v>255</v>
      </c>
      <c r="B31" t="s">
        <v>845</v>
      </c>
      <c r="C31" t="s">
        <v>879</v>
      </c>
      <c r="D31" t="s">
        <v>257</v>
      </c>
      <c r="E31">
        <v>600000000</v>
      </c>
      <c r="F31">
        <v>0</v>
      </c>
      <c r="G31">
        <v>600000000</v>
      </c>
      <c r="H31">
        <v>180000000</v>
      </c>
      <c r="I31">
        <v>180000000</v>
      </c>
      <c r="J31">
        <v>30</v>
      </c>
      <c r="K31" t="s">
        <v>29</v>
      </c>
      <c r="L31" t="s">
        <v>847</v>
      </c>
      <c r="M31" t="s">
        <v>51</v>
      </c>
      <c r="N31" s="1">
        <v>45351</v>
      </c>
    </row>
    <row r="32" spans="1:14" x14ac:dyDescent="0.45">
      <c r="A32" t="s">
        <v>137</v>
      </c>
      <c r="B32" t="s">
        <v>880</v>
      </c>
      <c r="C32" t="s">
        <v>881</v>
      </c>
      <c r="D32" t="s">
        <v>124</v>
      </c>
      <c r="E32">
        <v>100000000</v>
      </c>
      <c r="F32">
        <v>0</v>
      </c>
      <c r="G32">
        <v>100000000</v>
      </c>
      <c r="H32">
        <v>50000000</v>
      </c>
      <c r="I32">
        <v>50000000</v>
      </c>
      <c r="J32">
        <v>50</v>
      </c>
      <c r="K32" t="s">
        <v>32</v>
      </c>
      <c r="L32" t="s">
        <v>839</v>
      </c>
      <c r="M32" t="s">
        <v>42</v>
      </c>
      <c r="N32" s="1">
        <v>45471</v>
      </c>
    </row>
    <row r="33" spans="1:14" x14ac:dyDescent="0.45">
      <c r="A33" t="s">
        <v>139</v>
      </c>
      <c r="B33" t="s">
        <v>859</v>
      </c>
      <c r="C33" t="s">
        <v>860</v>
      </c>
      <c r="D33" t="s">
        <v>95</v>
      </c>
      <c r="E33">
        <v>200000000</v>
      </c>
      <c r="F33">
        <v>0</v>
      </c>
      <c r="G33">
        <v>200000000</v>
      </c>
      <c r="H33">
        <v>140000000</v>
      </c>
      <c r="I33">
        <v>140000000</v>
      </c>
      <c r="J33">
        <v>70</v>
      </c>
      <c r="K33" t="s">
        <v>27</v>
      </c>
      <c r="L33" t="s">
        <v>861</v>
      </c>
      <c r="M33" t="s">
        <v>66</v>
      </c>
      <c r="N33" s="1">
        <v>46203</v>
      </c>
    </row>
    <row r="34" spans="1:14" x14ac:dyDescent="0.45">
      <c r="A34" t="s">
        <v>141</v>
      </c>
      <c r="B34" t="s">
        <v>859</v>
      </c>
      <c r="C34" t="s">
        <v>860</v>
      </c>
      <c r="D34" t="s">
        <v>95</v>
      </c>
      <c r="E34">
        <v>50000000</v>
      </c>
      <c r="F34">
        <v>0</v>
      </c>
      <c r="G34">
        <v>50000000</v>
      </c>
      <c r="H34">
        <v>35000000</v>
      </c>
      <c r="I34">
        <v>35000000</v>
      </c>
      <c r="J34">
        <v>70</v>
      </c>
      <c r="K34" t="s">
        <v>27</v>
      </c>
      <c r="L34" t="s">
        <v>861</v>
      </c>
      <c r="M34" t="s">
        <v>51</v>
      </c>
      <c r="N34" s="1">
        <v>45534</v>
      </c>
    </row>
    <row r="35" spans="1:14" x14ac:dyDescent="0.45">
      <c r="A35" t="s">
        <v>150</v>
      </c>
      <c r="B35" t="s">
        <v>882</v>
      </c>
      <c r="C35" t="s">
        <v>883</v>
      </c>
      <c r="D35" t="s">
        <v>152</v>
      </c>
      <c r="E35">
        <v>7500000000</v>
      </c>
      <c r="F35">
        <v>0</v>
      </c>
      <c r="G35">
        <v>7500000000</v>
      </c>
      <c r="H35">
        <v>2250000000</v>
      </c>
      <c r="I35">
        <v>2250000000</v>
      </c>
      <c r="J35">
        <v>30</v>
      </c>
      <c r="K35" t="s">
        <v>27</v>
      </c>
      <c r="L35" t="s">
        <v>861</v>
      </c>
      <c r="M35" t="s">
        <v>42</v>
      </c>
      <c r="N35" s="1">
        <v>45534</v>
      </c>
    </row>
    <row r="36" spans="1:14" x14ac:dyDescent="0.45">
      <c r="A36" t="s">
        <v>143</v>
      </c>
      <c r="B36" t="s">
        <v>884</v>
      </c>
      <c r="C36" t="s">
        <v>885</v>
      </c>
      <c r="D36" t="s">
        <v>145</v>
      </c>
      <c r="E36">
        <v>2000000000</v>
      </c>
      <c r="F36">
        <v>1000000000</v>
      </c>
      <c r="G36">
        <v>1000000000</v>
      </c>
      <c r="H36">
        <v>500000000</v>
      </c>
      <c r="I36">
        <v>250000000</v>
      </c>
      <c r="J36">
        <v>25</v>
      </c>
      <c r="K36" t="s">
        <v>27</v>
      </c>
      <c r="L36" t="s">
        <v>886</v>
      </c>
      <c r="M36" t="s">
        <v>146</v>
      </c>
      <c r="N36" s="1">
        <v>45493</v>
      </c>
    </row>
    <row r="37" spans="1:14" x14ac:dyDescent="0.45">
      <c r="A37" t="s">
        <v>159</v>
      </c>
      <c r="B37" t="s">
        <v>867</v>
      </c>
      <c r="C37" t="s">
        <v>887</v>
      </c>
      <c r="D37" t="s">
        <v>161</v>
      </c>
      <c r="E37">
        <v>1000000000</v>
      </c>
      <c r="F37">
        <v>0</v>
      </c>
      <c r="G37">
        <v>1000000000</v>
      </c>
      <c r="H37">
        <v>700000000</v>
      </c>
      <c r="I37">
        <v>700000000</v>
      </c>
      <c r="J37">
        <v>70</v>
      </c>
      <c r="K37" t="s">
        <v>27</v>
      </c>
      <c r="L37" t="s">
        <v>869</v>
      </c>
      <c r="M37" t="s">
        <v>51</v>
      </c>
      <c r="N37" s="1">
        <v>45394</v>
      </c>
    </row>
    <row r="38" spans="1:14" x14ac:dyDescent="0.45">
      <c r="A38" t="s">
        <v>163</v>
      </c>
      <c r="B38" t="s">
        <v>867</v>
      </c>
      <c r="C38" t="s">
        <v>860</v>
      </c>
      <c r="D38" t="s">
        <v>165</v>
      </c>
      <c r="E38">
        <v>1000000000</v>
      </c>
      <c r="F38">
        <v>700000000</v>
      </c>
      <c r="G38">
        <v>300000000</v>
      </c>
      <c r="H38">
        <v>400000000</v>
      </c>
      <c r="I38">
        <v>120000000</v>
      </c>
      <c r="J38">
        <v>40</v>
      </c>
      <c r="K38" t="s">
        <v>27</v>
      </c>
      <c r="L38" t="s">
        <v>869</v>
      </c>
      <c r="M38" t="s">
        <v>146</v>
      </c>
      <c r="N38" s="1">
        <v>45626</v>
      </c>
    </row>
    <row r="39" spans="1:14" x14ac:dyDescent="0.45">
      <c r="A39" t="s">
        <v>167</v>
      </c>
      <c r="B39" t="s">
        <v>867</v>
      </c>
      <c r="C39" t="s">
        <v>868</v>
      </c>
      <c r="D39" t="s">
        <v>169</v>
      </c>
      <c r="E39">
        <v>500000000</v>
      </c>
      <c r="F39">
        <v>0</v>
      </c>
      <c r="G39">
        <v>500000000</v>
      </c>
      <c r="H39">
        <v>150000000</v>
      </c>
      <c r="I39">
        <v>150000000</v>
      </c>
      <c r="J39">
        <v>30</v>
      </c>
      <c r="K39" t="s">
        <v>27</v>
      </c>
      <c r="L39" t="s">
        <v>869</v>
      </c>
      <c r="M39" t="s">
        <v>66</v>
      </c>
      <c r="N39" s="1">
        <v>45566</v>
      </c>
    </row>
    <row r="40" spans="1:14" x14ac:dyDescent="0.45">
      <c r="A40" t="s">
        <v>171</v>
      </c>
      <c r="B40" t="s">
        <v>884</v>
      </c>
      <c r="C40" t="s">
        <v>868</v>
      </c>
      <c r="D40" t="s">
        <v>169</v>
      </c>
      <c r="E40">
        <v>115000000</v>
      </c>
      <c r="F40">
        <v>0</v>
      </c>
      <c r="G40">
        <v>115000000</v>
      </c>
      <c r="H40">
        <v>34500000</v>
      </c>
      <c r="I40">
        <v>34500000</v>
      </c>
      <c r="J40">
        <v>30</v>
      </c>
      <c r="K40" t="s">
        <v>27</v>
      </c>
      <c r="L40" t="s">
        <v>886</v>
      </c>
      <c r="M40" t="s">
        <v>66</v>
      </c>
      <c r="N40" s="1">
        <v>45566</v>
      </c>
    </row>
    <row r="41" spans="1:14" x14ac:dyDescent="0.45">
      <c r="A41" t="s">
        <v>173</v>
      </c>
      <c r="B41" t="s">
        <v>867</v>
      </c>
      <c r="C41" t="s">
        <v>868</v>
      </c>
      <c r="D41" t="s">
        <v>169</v>
      </c>
      <c r="E41">
        <v>504350000</v>
      </c>
      <c r="F41">
        <v>0</v>
      </c>
      <c r="G41">
        <v>504350000</v>
      </c>
      <c r="H41">
        <v>151305000</v>
      </c>
      <c r="I41">
        <v>151305000</v>
      </c>
      <c r="J41">
        <v>30</v>
      </c>
      <c r="K41" t="s">
        <v>27</v>
      </c>
      <c r="L41" t="s">
        <v>869</v>
      </c>
      <c r="M41" t="s">
        <v>66</v>
      </c>
      <c r="N41" s="1">
        <v>45412</v>
      </c>
    </row>
    <row r="42" spans="1:14" x14ac:dyDescent="0.45">
      <c r="A42" t="s">
        <v>175</v>
      </c>
      <c r="B42" t="s">
        <v>867</v>
      </c>
      <c r="C42" t="s">
        <v>868</v>
      </c>
      <c r="D42" t="s">
        <v>169</v>
      </c>
      <c r="E42">
        <v>292600000</v>
      </c>
      <c r="F42">
        <v>0</v>
      </c>
      <c r="G42">
        <v>292600000</v>
      </c>
      <c r="H42">
        <v>87780000</v>
      </c>
      <c r="I42">
        <v>87780000</v>
      </c>
      <c r="J42">
        <v>30</v>
      </c>
      <c r="K42" t="s">
        <v>27</v>
      </c>
      <c r="L42" t="s">
        <v>869</v>
      </c>
      <c r="M42" t="s">
        <v>66</v>
      </c>
      <c r="N42" s="1">
        <v>45566</v>
      </c>
    </row>
    <row r="43" spans="1:14" x14ac:dyDescent="0.45">
      <c r="A43" t="s">
        <v>177</v>
      </c>
      <c r="B43" t="s">
        <v>884</v>
      </c>
      <c r="C43" t="s">
        <v>868</v>
      </c>
      <c r="D43" t="s">
        <v>169</v>
      </c>
      <c r="E43">
        <v>180950000</v>
      </c>
      <c r="F43">
        <v>0</v>
      </c>
      <c r="G43">
        <v>180950000</v>
      </c>
      <c r="H43">
        <v>54285000</v>
      </c>
      <c r="I43">
        <v>54285000</v>
      </c>
      <c r="J43">
        <v>30</v>
      </c>
      <c r="K43" t="s">
        <v>27</v>
      </c>
      <c r="L43" t="s">
        <v>886</v>
      </c>
      <c r="M43" t="s">
        <v>66</v>
      </c>
      <c r="N43" s="1">
        <v>45566</v>
      </c>
    </row>
    <row r="44" spans="1:14" x14ac:dyDescent="0.45">
      <c r="A44" t="s">
        <v>246</v>
      </c>
      <c r="B44" t="s">
        <v>888</v>
      </c>
      <c r="C44" t="s">
        <v>889</v>
      </c>
      <c r="D44" t="s">
        <v>248</v>
      </c>
      <c r="E44">
        <v>500000000</v>
      </c>
      <c r="F44">
        <v>0</v>
      </c>
      <c r="G44">
        <v>500000000</v>
      </c>
      <c r="H44">
        <v>50000000</v>
      </c>
      <c r="I44">
        <v>50000000</v>
      </c>
      <c r="J44">
        <v>10</v>
      </c>
      <c r="K44" t="s">
        <v>32</v>
      </c>
      <c r="L44" t="s">
        <v>839</v>
      </c>
      <c r="M44" t="s">
        <v>42</v>
      </c>
      <c r="N44" s="1">
        <v>45345</v>
      </c>
    </row>
    <row r="45" spans="1:14" x14ac:dyDescent="0.45">
      <c r="A45" t="s">
        <v>179</v>
      </c>
      <c r="B45" t="s">
        <v>890</v>
      </c>
      <c r="C45" t="s">
        <v>891</v>
      </c>
      <c r="D45" t="s">
        <v>181</v>
      </c>
      <c r="E45">
        <v>150000000</v>
      </c>
      <c r="F45">
        <v>0</v>
      </c>
      <c r="G45">
        <v>150000000</v>
      </c>
      <c r="H45">
        <v>75000000</v>
      </c>
      <c r="I45">
        <v>75000000</v>
      </c>
      <c r="J45">
        <v>50</v>
      </c>
      <c r="K45" t="s">
        <v>32</v>
      </c>
      <c r="L45" t="s">
        <v>839</v>
      </c>
      <c r="M45" t="s">
        <v>42</v>
      </c>
      <c r="N45" s="1">
        <v>45327</v>
      </c>
    </row>
    <row r="46" spans="1:14" x14ac:dyDescent="0.45">
      <c r="A46" t="s">
        <v>182</v>
      </c>
      <c r="B46" t="s">
        <v>892</v>
      </c>
      <c r="C46" t="s">
        <v>893</v>
      </c>
      <c r="D46" t="s">
        <v>184</v>
      </c>
      <c r="E46">
        <v>150000000</v>
      </c>
      <c r="F46">
        <v>100000000</v>
      </c>
      <c r="G46">
        <v>50000000</v>
      </c>
      <c r="H46">
        <v>75000000</v>
      </c>
      <c r="I46">
        <v>25000000</v>
      </c>
      <c r="J46">
        <v>50</v>
      </c>
      <c r="K46" t="s">
        <v>32</v>
      </c>
      <c r="L46" t="s">
        <v>839</v>
      </c>
      <c r="M46" t="s">
        <v>42</v>
      </c>
      <c r="N46" s="1">
        <v>45345</v>
      </c>
    </row>
    <row r="47" spans="1:14" x14ac:dyDescent="0.45">
      <c r="A47" t="s">
        <v>186</v>
      </c>
      <c r="B47" t="s">
        <v>892</v>
      </c>
      <c r="C47" t="s">
        <v>894</v>
      </c>
      <c r="D47" t="s">
        <v>188</v>
      </c>
      <c r="E47">
        <v>120000000</v>
      </c>
      <c r="F47">
        <v>70000000</v>
      </c>
      <c r="G47">
        <v>50000000</v>
      </c>
      <c r="H47">
        <v>60000000</v>
      </c>
      <c r="I47">
        <v>25000000</v>
      </c>
      <c r="J47">
        <v>50</v>
      </c>
      <c r="K47" t="s">
        <v>32</v>
      </c>
      <c r="L47" t="s">
        <v>839</v>
      </c>
      <c r="M47" t="s">
        <v>66</v>
      </c>
      <c r="N47" s="1">
        <v>45345</v>
      </c>
    </row>
    <row r="48" spans="1:14" x14ac:dyDescent="0.45">
      <c r="A48" t="s">
        <v>189</v>
      </c>
      <c r="B48" t="s">
        <v>895</v>
      </c>
      <c r="C48" t="s">
        <v>896</v>
      </c>
      <c r="D48" t="s">
        <v>191</v>
      </c>
      <c r="E48">
        <v>750000000</v>
      </c>
      <c r="F48">
        <v>500000000</v>
      </c>
      <c r="G48">
        <v>250000000</v>
      </c>
      <c r="H48">
        <v>225000000</v>
      </c>
      <c r="I48">
        <v>75000000</v>
      </c>
      <c r="J48">
        <v>30</v>
      </c>
      <c r="K48" t="s">
        <v>28</v>
      </c>
      <c r="L48" t="s">
        <v>878</v>
      </c>
      <c r="M48" t="s">
        <v>51</v>
      </c>
      <c r="N48" s="1">
        <v>45716</v>
      </c>
    </row>
    <row r="49" spans="1:14" x14ac:dyDescent="0.45">
      <c r="A49" t="s">
        <v>193</v>
      </c>
      <c r="B49" t="s">
        <v>888</v>
      </c>
      <c r="C49" t="s">
        <v>897</v>
      </c>
      <c r="D49" t="s">
        <v>195</v>
      </c>
      <c r="E49">
        <v>500000000</v>
      </c>
      <c r="F49">
        <v>0</v>
      </c>
      <c r="G49">
        <v>500000000</v>
      </c>
      <c r="H49">
        <v>250000000</v>
      </c>
      <c r="I49">
        <v>250000000</v>
      </c>
      <c r="J49">
        <v>50</v>
      </c>
      <c r="K49" t="s">
        <v>32</v>
      </c>
      <c r="L49" t="s">
        <v>839</v>
      </c>
      <c r="M49" t="s">
        <v>42</v>
      </c>
      <c r="N49" s="1">
        <v>45499</v>
      </c>
    </row>
    <row r="50" spans="1:14" x14ac:dyDescent="0.45">
      <c r="A50" t="s">
        <v>197</v>
      </c>
      <c r="B50" t="s">
        <v>829</v>
      </c>
      <c r="C50" t="s">
        <v>898</v>
      </c>
      <c r="D50" t="s">
        <v>199</v>
      </c>
      <c r="E50">
        <v>100000000</v>
      </c>
      <c r="F50">
        <v>0</v>
      </c>
      <c r="G50">
        <v>100000000</v>
      </c>
      <c r="H50">
        <v>100000000</v>
      </c>
      <c r="I50">
        <v>100000000</v>
      </c>
      <c r="J50">
        <v>100</v>
      </c>
      <c r="K50" t="s">
        <v>29</v>
      </c>
      <c r="L50" t="s">
        <v>831</v>
      </c>
      <c r="M50" t="s">
        <v>51</v>
      </c>
      <c r="N50" s="1">
        <v>45562</v>
      </c>
    </row>
    <row r="51" spans="1:14" x14ac:dyDescent="0.45">
      <c r="A51" t="s">
        <v>200</v>
      </c>
      <c r="B51" t="s">
        <v>899</v>
      </c>
      <c r="C51" t="s">
        <v>900</v>
      </c>
      <c r="D51" t="s">
        <v>191</v>
      </c>
      <c r="E51">
        <v>120000000</v>
      </c>
      <c r="F51">
        <v>0</v>
      </c>
      <c r="G51">
        <v>120000000</v>
      </c>
      <c r="H51">
        <v>108000000</v>
      </c>
      <c r="I51">
        <v>108000000</v>
      </c>
      <c r="J51">
        <v>90</v>
      </c>
      <c r="K51" t="s">
        <v>28</v>
      </c>
      <c r="L51" t="s">
        <v>901</v>
      </c>
      <c r="M51" t="s">
        <v>51</v>
      </c>
      <c r="N51" s="1">
        <v>45565</v>
      </c>
    </row>
    <row r="52" spans="1:14" x14ac:dyDescent="0.45">
      <c r="A52" t="s">
        <v>203</v>
      </c>
      <c r="B52" t="s">
        <v>902</v>
      </c>
      <c r="C52" t="s">
        <v>903</v>
      </c>
      <c r="D52" t="s">
        <v>205</v>
      </c>
      <c r="E52">
        <v>1000000000</v>
      </c>
      <c r="F52">
        <v>0</v>
      </c>
      <c r="G52">
        <v>1000000000</v>
      </c>
      <c r="H52">
        <v>600000000</v>
      </c>
      <c r="I52">
        <v>600000000</v>
      </c>
      <c r="J52">
        <v>60</v>
      </c>
      <c r="K52" t="s">
        <v>26</v>
      </c>
      <c r="L52" t="s">
        <v>412</v>
      </c>
      <c r="M52" t="s">
        <v>51</v>
      </c>
      <c r="N52" s="1">
        <v>45473</v>
      </c>
    </row>
    <row r="53" spans="1:14" x14ac:dyDescent="0.45">
      <c r="A53" t="s">
        <v>207</v>
      </c>
      <c r="B53" t="s">
        <v>829</v>
      </c>
      <c r="C53" t="s">
        <v>904</v>
      </c>
      <c r="D53" t="s">
        <v>209</v>
      </c>
      <c r="E53">
        <v>180000000</v>
      </c>
      <c r="F53">
        <v>0</v>
      </c>
      <c r="G53">
        <v>180000000</v>
      </c>
      <c r="H53">
        <v>144000000</v>
      </c>
      <c r="I53">
        <v>144000000</v>
      </c>
      <c r="J53">
        <v>80</v>
      </c>
      <c r="K53" t="s">
        <v>29</v>
      </c>
      <c r="L53" t="s">
        <v>831</v>
      </c>
      <c r="M53" t="s">
        <v>210</v>
      </c>
      <c r="N53" s="1">
        <v>45444</v>
      </c>
    </row>
    <row r="54" spans="1:14" x14ac:dyDescent="0.45">
      <c r="A54" t="s">
        <v>905</v>
      </c>
      <c r="B54" t="s">
        <v>906</v>
      </c>
      <c r="C54" t="s">
        <v>897</v>
      </c>
      <c r="D54" t="s">
        <v>552</v>
      </c>
      <c r="E54">
        <v>1600000000</v>
      </c>
      <c r="F54">
        <v>0</v>
      </c>
      <c r="G54">
        <v>1600000000</v>
      </c>
      <c r="H54">
        <v>1120000000</v>
      </c>
      <c r="I54">
        <v>1120000000</v>
      </c>
      <c r="J54">
        <v>70</v>
      </c>
      <c r="K54" t="s">
        <v>32</v>
      </c>
      <c r="L54" t="s">
        <v>839</v>
      </c>
      <c r="M54" t="s">
        <v>42</v>
      </c>
      <c r="N54" s="1">
        <v>45271</v>
      </c>
    </row>
    <row r="55" spans="1:14" x14ac:dyDescent="0.45">
      <c r="A55" t="s">
        <v>214</v>
      </c>
      <c r="B55" t="s">
        <v>907</v>
      </c>
      <c r="C55" t="s">
        <v>908</v>
      </c>
      <c r="D55" t="s">
        <v>191</v>
      </c>
      <c r="E55">
        <v>745000000</v>
      </c>
      <c r="F55">
        <v>596000000</v>
      </c>
      <c r="G55">
        <v>149000000</v>
      </c>
      <c r="H55">
        <v>223500000</v>
      </c>
      <c r="I55">
        <v>44700000</v>
      </c>
      <c r="J55">
        <v>30</v>
      </c>
      <c r="K55" t="s">
        <v>28</v>
      </c>
      <c r="L55" t="s">
        <v>901</v>
      </c>
      <c r="M55" t="s">
        <v>146</v>
      </c>
      <c r="N55" s="1">
        <v>45657</v>
      </c>
    </row>
    <row r="56" spans="1:14" x14ac:dyDescent="0.45">
      <c r="A56" t="s">
        <v>217</v>
      </c>
      <c r="B56" t="s">
        <v>880</v>
      </c>
      <c r="C56" t="s">
        <v>909</v>
      </c>
      <c r="D56" t="s">
        <v>219</v>
      </c>
      <c r="E56">
        <v>100000000</v>
      </c>
      <c r="F56">
        <v>0</v>
      </c>
      <c r="G56">
        <v>100000000</v>
      </c>
      <c r="H56">
        <v>50000000</v>
      </c>
      <c r="I56">
        <v>50000000</v>
      </c>
      <c r="J56">
        <v>50</v>
      </c>
      <c r="K56" t="s">
        <v>32</v>
      </c>
      <c r="L56" t="s">
        <v>839</v>
      </c>
      <c r="M56" t="s">
        <v>42</v>
      </c>
      <c r="N56" s="1">
        <v>45355</v>
      </c>
    </row>
    <row r="57" spans="1:14" x14ac:dyDescent="0.45">
      <c r="A57" t="s">
        <v>222</v>
      </c>
      <c r="B57" t="s">
        <v>910</v>
      </c>
      <c r="C57" t="s">
        <v>911</v>
      </c>
      <c r="D57" t="s">
        <v>224</v>
      </c>
      <c r="E57">
        <v>150000000</v>
      </c>
      <c r="F57">
        <v>130000000</v>
      </c>
      <c r="G57">
        <v>20000000</v>
      </c>
      <c r="H57">
        <v>150000000</v>
      </c>
      <c r="I57">
        <v>20000000</v>
      </c>
      <c r="J57">
        <v>100</v>
      </c>
      <c r="K57" t="s">
        <v>32</v>
      </c>
      <c r="L57" t="s">
        <v>839</v>
      </c>
      <c r="M57" t="s">
        <v>42</v>
      </c>
      <c r="N57" s="1">
        <v>45373</v>
      </c>
    </row>
    <row r="58" spans="1:14" x14ac:dyDescent="0.45">
      <c r="A58" t="s">
        <v>226</v>
      </c>
      <c r="B58" t="s">
        <v>855</v>
      </c>
      <c r="C58" t="s">
        <v>912</v>
      </c>
      <c r="D58" t="s">
        <v>228</v>
      </c>
      <c r="E58">
        <v>60000000</v>
      </c>
      <c r="F58">
        <v>0</v>
      </c>
      <c r="G58">
        <v>60000000</v>
      </c>
      <c r="H58">
        <v>60000000</v>
      </c>
      <c r="I58">
        <v>60000000</v>
      </c>
      <c r="J58">
        <v>100</v>
      </c>
      <c r="K58" t="s">
        <v>32</v>
      </c>
      <c r="L58" t="s">
        <v>839</v>
      </c>
      <c r="M58" t="s">
        <v>146</v>
      </c>
      <c r="N58" s="1">
        <v>45351</v>
      </c>
    </row>
    <row r="59" spans="1:14" x14ac:dyDescent="0.45">
      <c r="A59" t="s">
        <v>229</v>
      </c>
      <c r="B59" t="s">
        <v>913</v>
      </c>
      <c r="C59" t="s">
        <v>914</v>
      </c>
      <c r="D59" t="s">
        <v>145</v>
      </c>
      <c r="E59">
        <v>1626980104</v>
      </c>
      <c r="F59">
        <v>1194668160</v>
      </c>
      <c r="G59">
        <v>432311944</v>
      </c>
      <c r="H59">
        <v>1138886072.8</v>
      </c>
      <c r="I59">
        <v>302618360.80000001</v>
      </c>
      <c r="J59">
        <v>70</v>
      </c>
      <c r="K59" t="s">
        <v>34</v>
      </c>
      <c r="L59" t="s">
        <v>842</v>
      </c>
      <c r="M59" t="s">
        <v>146</v>
      </c>
      <c r="N59" s="1">
        <v>45524</v>
      </c>
    </row>
    <row r="60" spans="1:14" x14ac:dyDescent="0.45">
      <c r="A60" t="s">
        <v>232</v>
      </c>
      <c r="B60" t="s">
        <v>913</v>
      </c>
      <c r="C60" t="s">
        <v>914</v>
      </c>
      <c r="D60" t="s">
        <v>145</v>
      </c>
      <c r="E60">
        <v>2158171679</v>
      </c>
      <c r="F60">
        <v>1530804583</v>
      </c>
      <c r="G60">
        <v>627367096</v>
      </c>
      <c r="H60">
        <v>1510720175.3</v>
      </c>
      <c r="I60">
        <v>439156967.19999999</v>
      </c>
      <c r="J60">
        <v>70</v>
      </c>
      <c r="K60" t="s">
        <v>34</v>
      </c>
      <c r="L60" t="s">
        <v>842</v>
      </c>
      <c r="M60" t="s">
        <v>146</v>
      </c>
      <c r="N60" s="1">
        <v>45524</v>
      </c>
    </row>
    <row r="61" spans="1:14" x14ac:dyDescent="0.45">
      <c r="A61" t="s">
        <v>235</v>
      </c>
      <c r="B61" t="s">
        <v>915</v>
      </c>
      <c r="C61" t="s">
        <v>916</v>
      </c>
      <c r="D61" t="s">
        <v>237</v>
      </c>
      <c r="E61">
        <v>100000000</v>
      </c>
      <c r="F61">
        <v>0</v>
      </c>
      <c r="G61">
        <v>100000000</v>
      </c>
      <c r="H61">
        <v>50000000</v>
      </c>
      <c r="I61">
        <v>50000000</v>
      </c>
      <c r="J61">
        <v>50</v>
      </c>
      <c r="K61" t="s">
        <v>32</v>
      </c>
      <c r="L61" t="s">
        <v>828</v>
      </c>
      <c r="M61" t="s">
        <v>66</v>
      </c>
      <c r="N61" s="1">
        <v>45345</v>
      </c>
    </row>
    <row r="62" spans="1:14" x14ac:dyDescent="0.45">
      <c r="A62" t="s">
        <v>238</v>
      </c>
      <c r="B62" t="s">
        <v>915</v>
      </c>
      <c r="C62" t="s">
        <v>916</v>
      </c>
      <c r="D62" t="s">
        <v>237</v>
      </c>
      <c r="E62">
        <v>62500000</v>
      </c>
      <c r="F62">
        <v>0</v>
      </c>
      <c r="G62">
        <v>62500000</v>
      </c>
      <c r="H62">
        <v>31250000</v>
      </c>
      <c r="I62">
        <v>31250000</v>
      </c>
      <c r="J62">
        <v>50</v>
      </c>
      <c r="K62" t="s">
        <v>32</v>
      </c>
      <c r="L62" t="s">
        <v>828</v>
      </c>
      <c r="M62" t="s">
        <v>66</v>
      </c>
      <c r="N62" s="1">
        <v>45345</v>
      </c>
    </row>
    <row r="63" spans="1:14" x14ac:dyDescent="0.45">
      <c r="A63" t="s">
        <v>240</v>
      </c>
      <c r="B63" t="s">
        <v>835</v>
      </c>
      <c r="C63" t="s">
        <v>860</v>
      </c>
      <c r="D63" t="s">
        <v>111</v>
      </c>
      <c r="E63">
        <v>100000000</v>
      </c>
      <c r="F63">
        <v>0</v>
      </c>
      <c r="G63">
        <v>100000000</v>
      </c>
      <c r="H63">
        <v>70000000</v>
      </c>
      <c r="I63">
        <v>70000000</v>
      </c>
      <c r="J63">
        <v>70</v>
      </c>
      <c r="K63" t="s">
        <v>29</v>
      </c>
      <c r="L63" t="s">
        <v>837</v>
      </c>
      <c r="M63" t="s">
        <v>146</v>
      </c>
      <c r="N63" s="1">
        <v>45565</v>
      </c>
    </row>
    <row r="64" spans="1:14" x14ac:dyDescent="0.45">
      <c r="A64" t="s">
        <v>243</v>
      </c>
      <c r="B64" t="s">
        <v>845</v>
      </c>
      <c r="C64" t="s">
        <v>860</v>
      </c>
      <c r="D64" t="s">
        <v>165</v>
      </c>
      <c r="E64">
        <v>300000000</v>
      </c>
      <c r="F64">
        <v>0</v>
      </c>
      <c r="G64">
        <v>300000000</v>
      </c>
      <c r="H64">
        <v>270000000</v>
      </c>
      <c r="I64">
        <v>270000000</v>
      </c>
      <c r="J64">
        <v>90</v>
      </c>
      <c r="K64" t="s">
        <v>29</v>
      </c>
      <c r="L64" t="s">
        <v>847</v>
      </c>
      <c r="M64" t="s">
        <v>51</v>
      </c>
      <c r="N64" s="1">
        <v>45535</v>
      </c>
    </row>
    <row r="65" spans="1:14" x14ac:dyDescent="0.45">
      <c r="A65" t="s">
        <v>266</v>
      </c>
      <c r="B65" t="s">
        <v>917</v>
      </c>
      <c r="C65" t="s">
        <v>918</v>
      </c>
      <c r="D65" t="s">
        <v>268</v>
      </c>
      <c r="E65">
        <v>600000000</v>
      </c>
      <c r="F65">
        <v>0</v>
      </c>
      <c r="G65">
        <v>600000000</v>
      </c>
      <c r="H65">
        <v>60000000</v>
      </c>
      <c r="I65">
        <v>60000000</v>
      </c>
      <c r="J65">
        <v>10</v>
      </c>
      <c r="K65" t="s">
        <v>31</v>
      </c>
      <c r="L65" t="s">
        <v>919</v>
      </c>
      <c r="M65" t="s">
        <v>42</v>
      </c>
      <c r="N65" s="1">
        <v>45554</v>
      </c>
    </row>
    <row r="66" spans="1:14" x14ac:dyDescent="0.45">
      <c r="A66" t="s">
        <v>266</v>
      </c>
      <c r="B66" t="s">
        <v>917</v>
      </c>
      <c r="C66" t="s">
        <v>918</v>
      </c>
      <c r="D66" t="s">
        <v>268</v>
      </c>
      <c r="E66">
        <v>700000000</v>
      </c>
      <c r="F66">
        <v>0</v>
      </c>
      <c r="G66">
        <v>700000000</v>
      </c>
      <c r="H66">
        <v>70000000</v>
      </c>
      <c r="I66">
        <v>70000000</v>
      </c>
      <c r="J66">
        <v>10</v>
      </c>
      <c r="K66" t="s">
        <v>30</v>
      </c>
      <c r="L66" t="s">
        <v>920</v>
      </c>
      <c r="M66" t="s">
        <v>42</v>
      </c>
      <c r="N66" s="1">
        <v>45554</v>
      </c>
    </row>
    <row r="67" spans="1:14" x14ac:dyDescent="0.45">
      <c r="A67" t="s">
        <v>273</v>
      </c>
      <c r="B67" t="s">
        <v>917</v>
      </c>
      <c r="C67" t="s">
        <v>921</v>
      </c>
      <c r="D67" t="s">
        <v>205</v>
      </c>
      <c r="E67">
        <v>588900000</v>
      </c>
      <c r="F67">
        <v>0</v>
      </c>
      <c r="G67">
        <v>588900000</v>
      </c>
      <c r="H67">
        <v>176670000</v>
      </c>
      <c r="I67">
        <v>176670000</v>
      </c>
      <c r="J67">
        <v>30</v>
      </c>
      <c r="K67" t="s">
        <v>31</v>
      </c>
      <c r="L67" t="s">
        <v>853</v>
      </c>
      <c r="M67" t="s">
        <v>51</v>
      </c>
      <c r="N67" s="1">
        <v>45596</v>
      </c>
    </row>
    <row r="68" spans="1:14" x14ac:dyDescent="0.45">
      <c r="A68" t="s">
        <v>275</v>
      </c>
      <c r="B68" t="s">
        <v>922</v>
      </c>
      <c r="C68" t="s">
        <v>923</v>
      </c>
      <c r="D68" t="s">
        <v>277</v>
      </c>
      <c r="E68">
        <v>3000000000</v>
      </c>
      <c r="F68">
        <v>2700000000</v>
      </c>
      <c r="G68">
        <v>300000000</v>
      </c>
      <c r="H68">
        <v>900000000</v>
      </c>
      <c r="I68">
        <v>90000000</v>
      </c>
      <c r="J68">
        <v>30</v>
      </c>
      <c r="K68" t="s">
        <v>28</v>
      </c>
      <c r="L68" t="s">
        <v>878</v>
      </c>
      <c r="M68" t="s">
        <v>51</v>
      </c>
      <c r="N68" s="1">
        <v>45535</v>
      </c>
    </row>
    <row r="69" spans="1:14" x14ac:dyDescent="0.45">
      <c r="A69" t="s">
        <v>278</v>
      </c>
      <c r="B69" t="s">
        <v>845</v>
      </c>
      <c r="C69" t="s">
        <v>868</v>
      </c>
      <c r="D69" t="s">
        <v>209</v>
      </c>
      <c r="E69">
        <v>800000000</v>
      </c>
      <c r="F69">
        <v>0</v>
      </c>
      <c r="G69">
        <v>800000000</v>
      </c>
      <c r="H69">
        <v>480000000</v>
      </c>
      <c r="I69">
        <v>480000000</v>
      </c>
      <c r="J69">
        <v>60</v>
      </c>
      <c r="K69" t="s">
        <v>29</v>
      </c>
      <c r="L69" t="s">
        <v>847</v>
      </c>
      <c r="M69" t="s">
        <v>66</v>
      </c>
      <c r="N69" s="1">
        <v>45443</v>
      </c>
    </row>
    <row r="70" spans="1:14" x14ac:dyDescent="0.45">
      <c r="A70" t="s">
        <v>281</v>
      </c>
      <c r="B70" t="s">
        <v>910</v>
      </c>
      <c r="C70" t="s">
        <v>282</v>
      </c>
      <c r="D70" t="s">
        <v>283</v>
      </c>
      <c r="E70">
        <v>1636000000</v>
      </c>
      <c r="F70">
        <v>1400000000</v>
      </c>
      <c r="G70">
        <v>236000000</v>
      </c>
      <c r="H70">
        <v>818000000</v>
      </c>
      <c r="I70">
        <v>118000000</v>
      </c>
      <c r="J70">
        <v>50</v>
      </c>
      <c r="K70" t="s">
        <v>32</v>
      </c>
      <c r="L70" t="s">
        <v>839</v>
      </c>
      <c r="M70" t="s">
        <v>66</v>
      </c>
      <c r="N70" s="1">
        <v>45464</v>
      </c>
    </row>
    <row r="71" spans="1:14" x14ac:dyDescent="0.45">
      <c r="A71" t="s">
        <v>285</v>
      </c>
      <c r="B71" t="s">
        <v>855</v>
      </c>
      <c r="C71" t="s">
        <v>924</v>
      </c>
      <c r="D71" t="s">
        <v>287</v>
      </c>
      <c r="E71">
        <v>70000000</v>
      </c>
      <c r="F71">
        <v>0</v>
      </c>
      <c r="G71">
        <v>70000000</v>
      </c>
      <c r="H71">
        <v>35000000</v>
      </c>
      <c r="I71">
        <v>35000000</v>
      </c>
      <c r="J71">
        <v>50</v>
      </c>
      <c r="K71" t="s">
        <v>32</v>
      </c>
      <c r="L71" t="s">
        <v>839</v>
      </c>
      <c r="M71" t="s">
        <v>42</v>
      </c>
      <c r="N71" s="1">
        <v>45505</v>
      </c>
    </row>
    <row r="72" spans="1:14" x14ac:dyDescent="0.45">
      <c r="A72" t="s">
        <v>289</v>
      </c>
      <c r="B72" t="s">
        <v>880</v>
      </c>
      <c r="C72" t="s">
        <v>880</v>
      </c>
      <c r="D72" t="s">
        <v>291</v>
      </c>
      <c r="E72">
        <v>100000000</v>
      </c>
      <c r="F72">
        <v>0</v>
      </c>
      <c r="G72">
        <v>100000000</v>
      </c>
      <c r="H72">
        <v>100000000</v>
      </c>
      <c r="I72">
        <v>100000000</v>
      </c>
      <c r="J72">
        <v>100</v>
      </c>
      <c r="K72" t="s">
        <v>32</v>
      </c>
      <c r="L72" t="s">
        <v>839</v>
      </c>
      <c r="M72" t="s">
        <v>42</v>
      </c>
      <c r="N72" s="1">
        <v>45408</v>
      </c>
    </row>
    <row r="73" spans="1:14" x14ac:dyDescent="0.45">
      <c r="A73" t="s">
        <v>292</v>
      </c>
      <c r="B73" t="s">
        <v>925</v>
      </c>
      <c r="C73" t="s">
        <v>926</v>
      </c>
      <c r="D73" t="s">
        <v>152</v>
      </c>
      <c r="E73">
        <v>1000000000</v>
      </c>
      <c r="F73">
        <v>800000000</v>
      </c>
      <c r="G73">
        <v>200000000</v>
      </c>
      <c r="H73">
        <v>200000000</v>
      </c>
      <c r="I73">
        <v>40000000</v>
      </c>
      <c r="J73">
        <v>20</v>
      </c>
      <c r="K73" t="s">
        <v>29</v>
      </c>
      <c r="L73" t="s">
        <v>844</v>
      </c>
      <c r="M73" t="s">
        <v>42</v>
      </c>
      <c r="N73" s="1">
        <v>45565</v>
      </c>
    </row>
    <row r="74" spans="1:14" x14ac:dyDescent="0.45">
      <c r="A74" t="s">
        <v>292</v>
      </c>
      <c r="B74" t="s">
        <v>927</v>
      </c>
      <c r="C74" t="s">
        <v>928</v>
      </c>
      <c r="D74" t="s">
        <v>152</v>
      </c>
      <c r="E74">
        <v>1500000000</v>
      </c>
      <c r="F74">
        <v>1363636364</v>
      </c>
      <c r="G74">
        <v>136363636</v>
      </c>
      <c r="H74">
        <v>300000000</v>
      </c>
      <c r="I74">
        <v>27272727.199999999</v>
      </c>
      <c r="J74">
        <v>20</v>
      </c>
      <c r="K74" t="s">
        <v>34</v>
      </c>
      <c r="L74" t="s">
        <v>842</v>
      </c>
      <c r="M74" t="s">
        <v>42</v>
      </c>
      <c r="N74" s="1">
        <v>45565</v>
      </c>
    </row>
    <row r="75" spans="1:14" x14ac:dyDescent="0.45">
      <c r="A75" t="s">
        <v>299</v>
      </c>
      <c r="B75" t="s">
        <v>929</v>
      </c>
      <c r="C75" t="s">
        <v>860</v>
      </c>
      <c r="D75" t="s">
        <v>95</v>
      </c>
      <c r="E75">
        <v>200000000</v>
      </c>
      <c r="F75">
        <v>0</v>
      </c>
      <c r="G75">
        <v>200000000</v>
      </c>
      <c r="H75">
        <v>140000000</v>
      </c>
      <c r="I75">
        <v>140000000</v>
      </c>
      <c r="J75">
        <v>70</v>
      </c>
      <c r="K75" t="s">
        <v>29</v>
      </c>
      <c r="L75" t="s">
        <v>844</v>
      </c>
      <c r="M75" t="s">
        <v>146</v>
      </c>
      <c r="N75" s="1">
        <v>45625</v>
      </c>
    </row>
    <row r="76" spans="1:14" x14ac:dyDescent="0.45">
      <c r="A76" t="s">
        <v>59</v>
      </c>
      <c r="B76" t="s">
        <v>930</v>
      </c>
      <c r="C76" t="s">
        <v>931</v>
      </c>
      <c r="D76" t="s">
        <v>61</v>
      </c>
      <c r="E76">
        <v>500000000</v>
      </c>
      <c r="F76">
        <v>273750000</v>
      </c>
      <c r="G76">
        <v>226250000</v>
      </c>
      <c r="H76">
        <v>100000000</v>
      </c>
      <c r="I76">
        <v>45250000</v>
      </c>
      <c r="J76">
        <v>20</v>
      </c>
      <c r="K76" t="s">
        <v>28</v>
      </c>
      <c r="L76" t="s">
        <v>932</v>
      </c>
      <c r="M76" t="s">
        <v>51</v>
      </c>
      <c r="N76" s="1">
        <v>45473</v>
      </c>
    </row>
    <row r="77" spans="1:14" x14ac:dyDescent="0.45">
      <c r="A77" t="s">
        <v>302</v>
      </c>
      <c r="B77" t="s">
        <v>925</v>
      </c>
      <c r="C77" t="s">
        <v>868</v>
      </c>
      <c r="D77" t="s">
        <v>169</v>
      </c>
      <c r="E77">
        <v>2000000000</v>
      </c>
      <c r="F77">
        <v>1800000000</v>
      </c>
      <c r="G77">
        <v>200000000</v>
      </c>
      <c r="H77">
        <v>400000000</v>
      </c>
      <c r="I77">
        <v>40000000</v>
      </c>
      <c r="J77">
        <v>20</v>
      </c>
      <c r="K77" t="s">
        <v>29</v>
      </c>
      <c r="L77" t="s">
        <v>844</v>
      </c>
      <c r="M77" t="s">
        <v>66</v>
      </c>
      <c r="N77" s="1">
        <v>45473</v>
      </c>
    </row>
    <row r="78" spans="1:14" x14ac:dyDescent="0.45">
      <c r="A78" t="s">
        <v>309</v>
      </c>
      <c r="B78" t="s">
        <v>927</v>
      </c>
      <c r="C78" t="s">
        <v>911</v>
      </c>
      <c r="D78" t="s">
        <v>169</v>
      </c>
      <c r="E78">
        <v>2000000000</v>
      </c>
      <c r="F78">
        <v>1800000000</v>
      </c>
      <c r="G78">
        <v>200000000</v>
      </c>
      <c r="H78">
        <v>400000000</v>
      </c>
      <c r="I78">
        <v>40000000</v>
      </c>
      <c r="J78">
        <v>20</v>
      </c>
      <c r="K78" t="s">
        <v>34</v>
      </c>
      <c r="L78" t="s">
        <v>842</v>
      </c>
      <c r="M78" t="s">
        <v>42</v>
      </c>
      <c r="N78" s="1">
        <v>45473</v>
      </c>
    </row>
    <row r="79" spans="1:14" x14ac:dyDescent="0.45">
      <c r="A79" t="s">
        <v>312</v>
      </c>
      <c r="B79" t="s">
        <v>855</v>
      </c>
      <c r="C79" t="s">
        <v>933</v>
      </c>
      <c r="D79" t="s">
        <v>314</v>
      </c>
      <c r="E79">
        <v>220000000</v>
      </c>
      <c r="F79">
        <v>0</v>
      </c>
      <c r="G79">
        <v>220000000</v>
      </c>
      <c r="H79">
        <v>110000000</v>
      </c>
      <c r="I79">
        <v>110000000</v>
      </c>
      <c r="J79">
        <v>50</v>
      </c>
      <c r="K79" t="s">
        <v>32</v>
      </c>
      <c r="L79" t="s">
        <v>839</v>
      </c>
      <c r="M79" t="s">
        <v>66</v>
      </c>
      <c r="N79" s="1">
        <v>46192</v>
      </c>
    </row>
    <row r="80" spans="1:14" x14ac:dyDescent="0.45">
      <c r="A80" t="s">
        <v>312</v>
      </c>
      <c r="B80" t="s">
        <v>880</v>
      </c>
      <c r="C80" t="s">
        <v>934</v>
      </c>
      <c r="D80" t="s">
        <v>314</v>
      </c>
      <c r="E80">
        <v>35500000</v>
      </c>
      <c r="F80">
        <v>0</v>
      </c>
      <c r="G80">
        <v>35500000</v>
      </c>
      <c r="H80">
        <v>17750000</v>
      </c>
      <c r="I80">
        <v>17750000</v>
      </c>
      <c r="J80">
        <v>50</v>
      </c>
      <c r="K80" t="s">
        <v>32</v>
      </c>
      <c r="L80" t="s">
        <v>839</v>
      </c>
      <c r="M80" t="s">
        <v>66</v>
      </c>
      <c r="N80" s="1">
        <v>46192</v>
      </c>
    </row>
    <row r="81" spans="1:14" x14ac:dyDescent="0.45">
      <c r="A81" t="s">
        <v>318</v>
      </c>
      <c r="B81" t="s">
        <v>935</v>
      </c>
      <c r="C81" t="s">
        <v>936</v>
      </c>
      <c r="D81" t="s">
        <v>152</v>
      </c>
      <c r="E81">
        <v>100000000</v>
      </c>
      <c r="F81">
        <v>0</v>
      </c>
      <c r="G81">
        <v>100000000</v>
      </c>
      <c r="H81">
        <v>30000000</v>
      </c>
      <c r="I81">
        <v>30000000</v>
      </c>
      <c r="J81">
        <v>30</v>
      </c>
      <c r="K81" t="s">
        <v>33</v>
      </c>
      <c r="L81" t="s">
        <v>937</v>
      </c>
      <c r="M81" t="s">
        <v>66</v>
      </c>
      <c r="N81" s="1">
        <v>45504</v>
      </c>
    </row>
    <row r="82" spans="1:14" x14ac:dyDescent="0.45">
      <c r="A82" t="s">
        <v>323</v>
      </c>
      <c r="B82" t="s">
        <v>938</v>
      </c>
      <c r="C82" t="s">
        <v>939</v>
      </c>
      <c r="D82" t="s">
        <v>325</v>
      </c>
      <c r="E82">
        <v>2000000000</v>
      </c>
      <c r="F82">
        <v>1700000000</v>
      </c>
      <c r="G82">
        <v>300000000</v>
      </c>
      <c r="H82">
        <v>400000000</v>
      </c>
      <c r="I82">
        <v>60000000</v>
      </c>
      <c r="J82">
        <v>20</v>
      </c>
      <c r="K82" t="s">
        <v>34</v>
      </c>
      <c r="L82" t="s">
        <v>842</v>
      </c>
      <c r="M82" t="s">
        <v>51</v>
      </c>
      <c r="N82" s="1">
        <v>45412</v>
      </c>
    </row>
    <row r="83" spans="1:14" x14ac:dyDescent="0.45">
      <c r="A83" t="s">
        <v>326</v>
      </c>
      <c r="B83" t="s">
        <v>882</v>
      </c>
      <c r="C83" t="s">
        <v>940</v>
      </c>
      <c r="D83" t="s">
        <v>325</v>
      </c>
      <c r="E83">
        <v>15000000000</v>
      </c>
      <c r="F83">
        <v>13500000000</v>
      </c>
      <c r="G83">
        <v>1500000000</v>
      </c>
      <c r="H83">
        <v>3000000000</v>
      </c>
      <c r="I83">
        <v>300000000</v>
      </c>
      <c r="J83">
        <v>20</v>
      </c>
      <c r="K83" t="s">
        <v>27</v>
      </c>
      <c r="L83" t="s">
        <v>861</v>
      </c>
      <c r="M83" t="s">
        <v>42</v>
      </c>
      <c r="N83" s="1">
        <v>45565</v>
      </c>
    </row>
    <row r="84" spans="1:14" x14ac:dyDescent="0.45">
      <c r="A84" t="s">
        <v>328</v>
      </c>
      <c r="B84" t="s">
        <v>913</v>
      </c>
      <c r="C84" t="s">
        <v>941</v>
      </c>
      <c r="D84" t="s">
        <v>145</v>
      </c>
      <c r="E84">
        <v>273929654.92000002</v>
      </c>
      <c r="F84">
        <v>178373769.43000001</v>
      </c>
      <c r="G84">
        <v>95555885.489999995</v>
      </c>
      <c r="H84">
        <v>82178896.480000004</v>
      </c>
      <c r="I84">
        <v>28666765.649999999</v>
      </c>
      <c r="J84">
        <v>30</v>
      </c>
      <c r="K84" t="s">
        <v>34</v>
      </c>
      <c r="L84" t="s">
        <v>842</v>
      </c>
      <c r="M84" t="s">
        <v>146</v>
      </c>
      <c r="N84" s="1">
        <v>45657</v>
      </c>
    </row>
    <row r="85" spans="1:14" x14ac:dyDescent="0.45">
      <c r="A85" t="s">
        <v>330</v>
      </c>
      <c r="B85" t="s">
        <v>942</v>
      </c>
      <c r="C85" t="s">
        <v>941</v>
      </c>
      <c r="D85" t="s">
        <v>145</v>
      </c>
      <c r="E85">
        <v>324421481.72000003</v>
      </c>
      <c r="F85">
        <v>234359912.40000001</v>
      </c>
      <c r="G85">
        <v>90061569.319999993</v>
      </c>
      <c r="H85">
        <v>97326444.519999996</v>
      </c>
      <c r="I85">
        <v>27018470.800000001</v>
      </c>
      <c r="J85">
        <v>30</v>
      </c>
      <c r="K85" t="s">
        <v>34</v>
      </c>
      <c r="L85" t="s">
        <v>842</v>
      </c>
      <c r="M85" t="s">
        <v>146</v>
      </c>
      <c r="N85" s="1">
        <v>45657</v>
      </c>
    </row>
    <row r="86" spans="1:14" x14ac:dyDescent="0.45">
      <c r="A86" t="s">
        <v>332</v>
      </c>
      <c r="B86" t="s">
        <v>845</v>
      </c>
      <c r="C86" t="s">
        <v>943</v>
      </c>
      <c r="D86" t="s">
        <v>50</v>
      </c>
      <c r="E86">
        <v>235261800</v>
      </c>
      <c r="F86">
        <v>0</v>
      </c>
      <c r="G86">
        <v>235261800</v>
      </c>
      <c r="H86">
        <v>117630900</v>
      </c>
      <c r="I86">
        <v>117630900</v>
      </c>
      <c r="J86">
        <v>50</v>
      </c>
      <c r="K86" t="s">
        <v>29</v>
      </c>
      <c r="L86" t="s">
        <v>847</v>
      </c>
      <c r="M86" t="s">
        <v>51</v>
      </c>
      <c r="N86" s="1">
        <v>45625</v>
      </c>
    </row>
    <row r="87" spans="1:14" x14ac:dyDescent="0.45">
      <c r="A87" t="s">
        <v>335</v>
      </c>
      <c r="B87" t="s">
        <v>845</v>
      </c>
      <c r="C87" t="s">
        <v>944</v>
      </c>
      <c r="D87" t="s">
        <v>50</v>
      </c>
      <c r="E87">
        <v>188100000</v>
      </c>
      <c r="F87">
        <v>0</v>
      </c>
      <c r="G87">
        <v>188100000</v>
      </c>
      <c r="H87">
        <v>131670000</v>
      </c>
      <c r="I87">
        <v>131670000</v>
      </c>
      <c r="J87">
        <v>70</v>
      </c>
      <c r="K87" t="s">
        <v>29</v>
      </c>
      <c r="L87" t="s">
        <v>847</v>
      </c>
      <c r="M87" t="s">
        <v>51</v>
      </c>
      <c r="N87" s="1">
        <v>45473</v>
      </c>
    </row>
    <row r="88" spans="1:14" x14ac:dyDescent="0.45">
      <c r="A88" t="s">
        <v>337</v>
      </c>
      <c r="B88" t="s">
        <v>845</v>
      </c>
      <c r="C88" t="s">
        <v>944</v>
      </c>
      <c r="D88" t="s">
        <v>50</v>
      </c>
      <c r="E88">
        <v>188100000</v>
      </c>
      <c r="F88">
        <v>0</v>
      </c>
      <c r="G88">
        <v>188100000</v>
      </c>
      <c r="H88">
        <v>131670000</v>
      </c>
      <c r="I88">
        <v>131670000</v>
      </c>
      <c r="J88">
        <v>70</v>
      </c>
      <c r="K88" t="s">
        <v>29</v>
      </c>
      <c r="L88" t="s">
        <v>847</v>
      </c>
      <c r="M88" t="s">
        <v>51</v>
      </c>
      <c r="N88" s="1">
        <v>45504</v>
      </c>
    </row>
    <row r="89" spans="1:14" x14ac:dyDescent="0.45">
      <c r="A89" t="s">
        <v>339</v>
      </c>
      <c r="B89" t="s">
        <v>845</v>
      </c>
      <c r="C89" t="s">
        <v>945</v>
      </c>
      <c r="D89" t="s">
        <v>50</v>
      </c>
      <c r="E89">
        <v>188100000</v>
      </c>
      <c r="F89">
        <v>0</v>
      </c>
      <c r="G89">
        <v>188100000</v>
      </c>
      <c r="H89">
        <v>131670000</v>
      </c>
      <c r="I89">
        <v>131670000</v>
      </c>
      <c r="J89">
        <v>70</v>
      </c>
      <c r="K89" t="s">
        <v>29</v>
      </c>
      <c r="L89" t="s">
        <v>847</v>
      </c>
      <c r="M89" t="s">
        <v>51</v>
      </c>
      <c r="N89" s="1">
        <v>45535</v>
      </c>
    </row>
    <row r="90" spans="1:14" x14ac:dyDescent="0.45">
      <c r="A90" t="s">
        <v>341</v>
      </c>
      <c r="B90" t="s">
        <v>845</v>
      </c>
      <c r="C90" t="s">
        <v>946</v>
      </c>
      <c r="D90" t="s">
        <v>50</v>
      </c>
      <c r="E90">
        <v>188100000</v>
      </c>
      <c r="F90">
        <v>0</v>
      </c>
      <c r="G90">
        <v>188100000</v>
      </c>
      <c r="H90">
        <v>131670000</v>
      </c>
      <c r="I90">
        <v>131670000</v>
      </c>
      <c r="J90">
        <v>70</v>
      </c>
      <c r="K90" t="s">
        <v>29</v>
      </c>
      <c r="L90" t="s">
        <v>847</v>
      </c>
      <c r="M90" t="s">
        <v>51</v>
      </c>
      <c r="N90" s="1">
        <v>45596</v>
      </c>
    </row>
    <row r="91" spans="1:14" x14ac:dyDescent="0.45">
      <c r="A91" t="s">
        <v>343</v>
      </c>
      <c r="B91" t="s">
        <v>845</v>
      </c>
      <c r="C91" t="s">
        <v>947</v>
      </c>
      <c r="D91" t="s">
        <v>50</v>
      </c>
      <c r="E91">
        <v>188100000</v>
      </c>
      <c r="F91">
        <v>0</v>
      </c>
      <c r="G91">
        <v>188100000</v>
      </c>
      <c r="H91">
        <v>131670000</v>
      </c>
      <c r="I91">
        <v>131670000</v>
      </c>
      <c r="J91">
        <v>70</v>
      </c>
      <c r="K91" t="s">
        <v>29</v>
      </c>
      <c r="L91" t="s">
        <v>847</v>
      </c>
      <c r="M91" t="s">
        <v>51</v>
      </c>
      <c r="N91" s="1">
        <v>45626</v>
      </c>
    </row>
    <row r="92" spans="1:14" x14ac:dyDescent="0.45">
      <c r="A92" t="s">
        <v>345</v>
      </c>
      <c r="B92" t="s">
        <v>845</v>
      </c>
      <c r="C92" t="s">
        <v>948</v>
      </c>
      <c r="D92" t="s">
        <v>50</v>
      </c>
      <c r="E92">
        <v>188100000</v>
      </c>
      <c r="F92">
        <v>0</v>
      </c>
      <c r="G92">
        <v>188100000</v>
      </c>
      <c r="H92">
        <v>131670000</v>
      </c>
      <c r="I92">
        <v>131670000</v>
      </c>
      <c r="J92">
        <v>70</v>
      </c>
      <c r="K92" t="s">
        <v>29</v>
      </c>
      <c r="L92" t="s">
        <v>847</v>
      </c>
      <c r="M92" t="s">
        <v>51</v>
      </c>
      <c r="N92" s="1">
        <v>45657</v>
      </c>
    </row>
    <row r="93" spans="1:14" x14ac:dyDescent="0.45">
      <c r="A93" t="s">
        <v>347</v>
      </c>
      <c r="B93" t="s">
        <v>845</v>
      </c>
      <c r="C93" t="s">
        <v>949</v>
      </c>
      <c r="D93" t="s">
        <v>50</v>
      </c>
      <c r="E93">
        <v>85500000</v>
      </c>
      <c r="F93">
        <v>0</v>
      </c>
      <c r="G93">
        <v>85500000</v>
      </c>
      <c r="H93">
        <v>59850000</v>
      </c>
      <c r="I93">
        <v>59850000</v>
      </c>
      <c r="J93">
        <v>70</v>
      </c>
      <c r="K93" t="s">
        <v>29</v>
      </c>
      <c r="L93" t="s">
        <v>847</v>
      </c>
      <c r="M93" t="s">
        <v>51</v>
      </c>
      <c r="N93" s="1">
        <v>45688</v>
      </c>
    </row>
    <row r="94" spans="1:14" x14ac:dyDescent="0.45">
      <c r="A94" t="s">
        <v>357</v>
      </c>
      <c r="B94" t="s">
        <v>835</v>
      </c>
      <c r="C94" t="s">
        <v>950</v>
      </c>
      <c r="D94" t="s">
        <v>55</v>
      </c>
      <c r="E94">
        <v>285000000</v>
      </c>
      <c r="F94">
        <v>0</v>
      </c>
      <c r="G94">
        <v>285000000</v>
      </c>
      <c r="H94">
        <v>85500000</v>
      </c>
      <c r="I94">
        <v>85500000</v>
      </c>
      <c r="J94">
        <v>30</v>
      </c>
      <c r="K94" t="s">
        <v>29</v>
      </c>
      <c r="L94" t="s">
        <v>837</v>
      </c>
      <c r="M94" t="s">
        <v>42</v>
      </c>
      <c r="N94" s="1">
        <v>45534</v>
      </c>
    </row>
    <row r="95" spans="1:14" x14ac:dyDescent="0.45">
      <c r="A95" t="s">
        <v>350</v>
      </c>
      <c r="B95" t="s">
        <v>951</v>
      </c>
      <c r="C95" t="s">
        <v>868</v>
      </c>
      <c r="D95" t="s">
        <v>169</v>
      </c>
      <c r="E95">
        <v>450000000</v>
      </c>
      <c r="F95">
        <v>0</v>
      </c>
      <c r="G95">
        <v>450000000</v>
      </c>
      <c r="H95">
        <v>90000000</v>
      </c>
      <c r="I95">
        <v>90000000</v>
      </c>
      <c r="J95">
        <v>20</v>
      </c>
      <c r="K95" t="s">
        <v>27</v>
      </c>
      <c r="L95" t="s">
        <v>861</v>
      </c>
      <c r="M95" t="s">
        <v>146</v>
      </c>
      <c r="N95" s="1">
        <v>45473</v>
      </c>
    </row>
    <row r="96" spans="1:14" x14ac:dyDescent="0.45">
      <c r="A96" t="s">
        <v>352</v>
      </c>
      <c r="B96" t="s">
        <v>880</v>
      </c>
      <c r="C96" t="s">
        <v>909</v>
      </c>
      <c r="D96" t="s">
        <v>354</v>
      </c>
      <c r="E96">
        <v>100000000</v>
      </c>
      <c r="F96">
        <v>0</v>
      </c>
      <c r="G96">
        <v>100000000</v>
      </c>
      <c r="H96">
        <v>50000000</v>
      </c>
      <c r="I96">
        <v>50000000</v>
      </c>
      <c r="J96">
        <v>50</v>
      </c>
      <c r="K96" t="s">
        <v>32</v>
      </c>
      <c r="L96" t="s">
        <v>839</v>
      </c>
      <c r="M96" t="s">
        <v>66</v>
      </c>
      <c r="N96" s="1">
        <v>45471</v>
      </c>
    </row>
    <row r="97" spans="1:14" x14ac:dyDescent="0.45">
      <c r="A97" t="s">
        <v>355</v>
      </c>
      <c r="B97" t="s">
        <v>952</v>
      </c>
      <c r="C97" t="s">
        <v>868</v>
      </c>
      <c r="D97" t="s">
        <v>91</v>
      </c>
      <c r="E97">
        <v>700000000</v>
      </c>
      <c r="F97">
        <v>0</v>
      </c>
      <c r="G97">
        <v>700000000</v>
      </c>
      <c r="H97">
        <v>140000000</v>
      </c>
      <c r="I97">
        <v>140000000</v>
      </c>
      <c r="J97">
        <v>20</v>
      </c>
      <c r="K97" t="s">
        <v>29</v>
      </c>
      <c r="L97" t="s">
        <v>837</v>
      </c>
      <c r="M97" t="s">
        <v>66</v>
      </c>
      <c r="N97" s="1">
        <v>45443</v>
      </c>
    </row>
    <row r="98" spans="1:14" x14ac:dyDescent="0.45">
      <c r="A98" t="s">
        <v>361</v>
      </c>
      <c r="B98" t="s">
        <v>888</v>
      </c>
      <c r="C98" t="s">
        <v>953</v>
      </c>
      <c r="D98" t="s">
        <v>363</v>
      </c>
      <c r="E98">
        <v>3000000000</v>
      </c>
      <c r="F98">
        <v>0</v>
      </c>
      <c r="G98">
        <v>3000000000</v>
      </c>
      <c r="H98">
        <v>1500000000</v>
      </c>
      <c r="I98">
        <v>1500000000</v>
      </c>
      <c r="J98">
        <v>50</v>
      </c>
      <c r="K98" t="s">
        <v>32</v>
      </c>
      <c r="L98" t="s">
        <v>839</v>
      </c>
      <c r="M98" t="s">
        <v>66</v>
      </c>
      <c r="N98" s="1">
        <v>45565</v>
      </c>
    </row>
    <row r="99" spans="1:14" x14ac:dyDescent="0.45">
      <c r="A99" t="s">
        <v>212</v>
      </c>
      <c r="B99" t="s">
        <v>890</v>
      </c>
      <c r="C99" t="s">
        <v>954</v>
      </c>
      <c r="D99" t="s">
        <v>181</v>
      </c>
      <c r="E99">
        <v>200000000</v>
      </c>
      <c r="F99">
        <v>100000000</v>
      </c>
      <c r="G99">
        <v>100000000</v>
      </c>
      <c r="H99">
        <v>100000000</v>
      </c>
      <c r="I99">
        <v>50000000</v>
      </c>
      <c r="J99">
        <v>50</v>
      </c>
      <c r="K99" t="s">
        <v>32</v>
      </c>
      <c r="L99" t="s">
        <v>839</v>
      </c>
      <c r="M99" t="s">
        <v>51</v>
      </c>
      <c r="N99" s="1">
        <v>45412</v>
      </c>
    </row>
    <row r="100" spans="1:14" x14ac:dyDescent="0.45">
      <c r="A100" t="s">
        <v>364</v>
      </c>
      <c r="B100" t="s">
        <v>910</v>
      </c>
      <c r="C100" t="s">
        <v>955</v>
      </c>
      <c r="D100" t="s">
        <v>181</v>
      </c>
      <c r="E100">
        <v>50000000</v>
      </c>
      <c r="F100">
        <v>25000000</v>
      </c>
      <c r="G100">
        <v>25000000</v>
      </c>
      <c r="H100">
        <v>25000000</v>
      </c>
      <c r="I100">
        <v>12500000</v>
      </c>
      <c r="J100">
        <v>50</v>
      </c>
      <c r="K100" t="s">
        <v>32</v>
      </c>
      <c r="L100" t="s">
        <v>839</v>
      </c>
      <c r="M100" t="s">
        <v>66</v>
      </c>
      <c r="N100" s="1">
        <v>45415</v>
      </c>
    </row>
    <row r="101" spans="1:14" x14ac:dyDescent="0.45">
      <c r="A101" t="s">
        <v>366</v>
      </c>
      <c r="B101" t="s">
        <v>935</v>
      </c>
      <c r="C101" t="s">
        <v>367</v>
      </c>
      <c r="D101" t="s">
        <v>152</v>
      </c>
      <c r="E101">
        <v>1875000000</v>
      </c>
      <c r="F101">
        <v>0</v>
      </c>
      <c r="G101">
        <v>1875000000</v>
      </c>
      <c r="H101">
        <v>375000000</v>
      </c>
      <c r="I101">
        <v>375000000</v>
      </c>
      <c r="J101">
        <v>20</v>
      </c>
      <c r="K101" t="s">
        <v>33</v>
      </c>
      <c r="L101" t="s">
        <v>937</v>
      </c>
      <c r="M101" t="s">
        <v>66</v>
      </c>
      <c r="N101" s="1">
        <v>45565</v>
      </c>
    </row>
    <row r="102" spans="1:14" x14ac:dyDescent="0.45">
      <c r="A102" t="s">
        <v>368</v>
      </c>
      <c r="B102" t="s">
        <v>845</v>
      </c>
      <c r="C102" t="s">
        <v>956</v>
      </c>
      <c r="D102" t="s">
        <v>370</v>
      </c>
      <c r="E102">
        <v>500000000</v>
      </c>
      <c r="F102">
        <v>0</v>
      </c>
      <c r="G102">
        <v>500000000</v>
      </c>
      <c r="H102">
        <v>150000000</v>
      </c>
      <c r="I102">
        <v>150000000</v>
      </c>
      <c r="J102">
        <v>30</v>
      </c>
      <c r="K102" t="s">
        <v>29</v>
      </c>
      <c r="L102" t="s">
        <v>847</v>
      </c>
      <c r="M102" t="s">
        <v>146</v>
      </c>
      <c r="N102" s="1">
        <v>45504</v>
      </c>
    </row>
    <row r="103" spans="1:14" x14ac:dyDescent="0.45">
      <c r="A103" t="s">
        <v>375</v>
      </c>
      <c r="B103" t="s">
        <v>845</v>
      </c>
      <c r="C103" t="s">
        <v>860</v>
      </c>
      <c r="D103" t="s">
        <v>165</v>
      </c>
      <c r="E103">
        <v>50000000</v>
      </c>
      <c r="F103">
        <v>0</v>
      </c>
      <c r="G103">
        <v>50000000</v>
      </c>
      <c r="H103">
        <v>40000000</v>
      </c>
      <c r="I103">
        <v>40000000</v>
      </c>
      <c r="J103">
        <v>80</v>
      </c>
      <c r="K103" t="s">
        <v>29</v>
      </c>
      <c r="L103" t="s">
        <v>847</v>
      </c>
      <c r="M103" t="s">
        <v>146</v>
      </c>
      <c r="N103" s="1">
        <v>45443</v>
      </c>
    </row>
    <row r="104" spans="1:14" x14ac:dyDescent="0.45">
      <c r="A104" t="s">
        <v>377</v>
      </c>
      <c r="B104" t="s">
        <v>880</v>
      </c>
      <c r="C104" t="s">
        <v>957</v>
      </c>
      <c r="D104" t="s">
        <v>287</v>
      </c>
      <c r="E104">
        <v>100000000</v>
      </c>
      <c r="F104">
        <v>0</v>
      </c>
      <c r="G104">
        <v>100000000</v>
      </c>
      <c r="H104">
        <v>50000000</v>
      </c>
      <c r="I104">
        <v>50000000</v>
      </c>
      <c r="J104">
        <v>50</v>
      </c>
      <c r="K104" t="s">
        <v>32</v>
      </c>
      <c r="L104" t="s">
        <v>839</v>
      </c>
      <c r="M104" t="s">
        <v>42</v>
      </c>
      <c r="N104" s="1">
        <v>45506</v>
      </c>
    </row>
    <row r="105" spans="1:14" x14ac:dyDescent="0.45">
      <c r="A105" t="s">
        <v>380</v>
      </c>
      <c r="B105" t="s">
        <v>845</v>
      </c>
      <c r="C105" t="s">
        <v>958</v>
      </c>
      <c r="D105" t="s">
        <v>199</v>
      </c>
      <c r="E105">
        <v>76000000</v>
      </c>
      <c r="F105">
        <v>0</v>
      </c>
      <c r="G105">
        <v>76000000</v>
      </c>
      <c r="H105">
        <v>30400000</v>
      </c>
      <c r="I105">
        <v>30400000</v>
      </c>
      <c r="J105">
        <v>40</v>
      </c>
      <c r="K105" t="s">
        <v>29</v>
      </c>
      <c r="L105" t="s">
        <v>847</v>
      </c>
      <c r="M105" t="s">
        <v>146</v>
      </c>
      <c r="N105" s="1">
        <v>45443</v>
      </c>
    </row>
    <row r="106" spans="1:14" x14ac:dyDescent="0.45">
      <c r="A106" t="s">
        <v>421</v>
      </c>
      <c r="B106" t="s">
        <v>959</v>
      </c>
      <c r="C106" t="s">
        <v>960</v>
      </c>
      <c r="D106" t="s">
        <v>423</v>
      </c>
      <c r="E106">
        <v>1300000000</v>
      </c>
      <c r="F106">
        <v>1200000000</v>
      </c>
      <c r="G106">
        <v>100000000</v>
      </c>
      <c r="H106">
        <v>1040000000</v>
      </c>
      <c r="I106">
        <v>80000000</v>
      </c>
      <c r="J106">
        <v>80</v>
      </c>
      <c r="K106" t="s">
        <v>28</v>
      </c>
      <c r="L106" t="s">
        <v>878</v>
      </c>
      <c r="M106" t="s">
        <v>51</v>
      </c>
      <c r="N106" s="1">
        <v>45555</v>
      </c>
    </row>
    <row r="107" spans="1:14" x14ac:dyDescent="0.45">
      <c r="A107" t="s">
        <v>424</v>
      </c>
      <c r="B107" t="s">
        <v>961</v>
      </c>
      <c r="C107" t="s">
        <v>962</v>
      </c>
      <c r="D107" t="s">
        <v>145</v>
      </c>
      <c r="E107">
        <v>2000000000</v>
      </c>
      <c r="F107">
        <v>0</v>
      </c>
      <c r="G107">
        <v>2000000000</v>
      </c>
      <c r="H107">
        <v>1600000000</v>
      </c>
      <c r="I107">
        <v>1600000000</v>
      </c>
      <c r="J107">
        <v>80</v>
      </c>
      <c r="K107" t="s">
        <v>27</v>
      </c>
      <c r="L107" t="s">
        <v>963</v>
      </c>
      <c r="M107" t="s">
        <v>51</v>
      </c>
      <c r="N107" s="1">
        <v>45565</v>
      </c>
    </row>
    <row r="108" spans="1:14" x14ac:dyDescent="0.45">
      <c r="A108" t="s">
        <v>382</v>
      </c>
      <c r="B108" t="s">
        <v>913</v>
      </c>
      <c r="C108" t="s">
        <v>914</v>
      </c>
      <c r="D108" t="s">
        <v>145</v>
      </c>
      <c r="E108">
        <v>365000000</v>
      </c>
      <c r="F108">
        <v>253000000</v>
      </c>
      <c r="G108">
        <v>112000000</v>
      </c>
      <c r="H108">
        <v>292000000</v>
      </c>
      <c r="I108">
        <v>89600000</v>
      </c>
      <c r="J108">
        <v>80</v>
      </c>
      <c r="K108" t="s">
        <v>34</v>
      </c>
      <c r="L108" t="s">
        <v>842</v>
      </c>
      <c r="M108" t="s">
        <v>51</v>
      </c>
      <c r="N108" s="1">
        <v>45646</v>
      </c>
    </row>
    <row r="109" spans="1:14" x14ac:dyDescent="0.45">
      <c r="A109" t="s">
        <v>385</v>
      </c>
      <c r="B109" t="s">
        <v>913</v>
      </c>
      <c r="C109" t="s">
        <v>914</v>
      </c>
      <c r="D109" t="s">
        <v>145</v>
      </c>
      <c r="E109">
        <v>389000000</v>
      </c>
      <c r="F109">
        <v>282000000</v>
      </c>
      <c r="G109">
        <v>107000000</v>
      </c>
      <c r="H109">
        <v>311200000</v>
      </c>
      <c r="I109">
        <v>85600000</v>
      </c>
      <c r="J109">
        <v>80</v>
      </c>
      <c r="K109" t="s">
        <v>34</v>
      </c>
      <c r="L109" t="s">
        <v>842</v>
      </c>
      <c r="M109" t="s">
        <v>51</v>
      </c>
      <c r="N109" s="1">
        <v>45524</v>
      </c>
    </row>
    <row r="110" spans="1:14" x14ac:dyDescent="0.45">
      <c r="A110" t="s">
        <v>387</v>
      </c>
      <c r="B110" t="s">
        <v>964</v>
      </c>
      <c r="C110" t="s">
        <v>965</v>
      </c>
      <c r="D110" t="s">
        <v>145</v>
      </c>
      <c r="E110">
        <v>600000000</v>
      </c>
      <c r="F110">
        <v>272000000</v>
      </c>
      <c r="G110">
        <v>328000000</v>
      </c>
      <c r="H110">
        <v>300000000</v>
      </c>
      <c r="I110">
        <v>164000000</v>
      </c>
      <c r="J110">
        <v>50</v>
      </c>
      <c r="K110" t="s">
        <v>28</v>
      </c>
      <c r="L110" t="s">
        <v>878</v>
      </c>
      <c r="M110" t="s">
        <v>42</v>
      </c>
      <c r="N110" s="1">
        <v>45493</v>
      </c>
    </row>
    <row r="111" spans="1:14" x14ac:dyDescent="0.45">
      <c r="A111" t="s">
        <v>394</v>
      </c>
      <c r="B111" t="s">
        <v>966</v>
      </c>
      <c r="C111" t="s">
        <v>967</v>
      </c>
      <c r="D111" t="s">
        <v>152</v>
      </c>
      <c r="E111">
        <v>50000000</v>
      </c>
      <c r="F111">
        <v>0</v>
      </c>
      <c r="G111">
        <v>50000000</v>
      </c>
      <c r="H111">
        <v>15000000</v>
      </c>
      <c r="I111">
        <v>15000000</v>
      </c>
      <c r="J111">
        <v>30</v>
      </c>
      <c r="K111" t="s">
        <v>31</v>
      </c>
      <c r="L111" t="s">
        <v>968</v>
      </c>
      <c r="M111" t="s">
        <v>146</v>
      </c>
      <c r="N111" s="1">
        <v>45504</v>
      </c>
    </row>
    <row r="112" spans="1:14" x14ac:dyDescent="0.45">
      <c r="A112" t="s">
        <v>396</v>
      </c>
      <c r="B112" t="s">
        <v>884</v>
      </c>
      <c r="C112" t="s">
        <v>849</v>
      </c>
      <c r="D112" t="s">
        <v>165</v>
      </c>
      <c r="E112">
        <v>176000000</v>
      </c>
      <c r="F112">
        <v>0</v>
      </c>
      <c r="G112">
        <v>176000000</v>
      </c>
      <c r="H112">
        <v>123200000</v>
      </c>
      <c r="I112">
        <v>123200000</v>
      </c>
      <c r="J112">
        <v>70</v>
      </c>
      <c r="K112" t="s">
        <v>27</v>
      </c>
      <c r="L112" t="s">
        <v>886</v>
      </c>
      <c r="M112" t="s">
        <v>66</v>
      </c>
      <c r="N112" s="1">
        <v>45473</v>
      </c>
    </row>
    <row r="113" spans="1:14" x14ac:dyDescent="0.45">
      <c r="A113" t="s">
        <v>399</v>
      </c>
      <c r="B113" t="s">
        <v>884</v>
      </c>
      <c r="C113" t="s">
        <v>849</v>
      </c>
      <c r="D113" t="s">
        <v>165</v>
      </c>
      <c r="E113">
        <v>96000000</v>
      </c>
      <c r="F113">
        <v>0</v>
      </c>
      <c r="G113">
        <v>96000000</v>
      </c>
      <c r="H113">
        <v>67200000</v>
      </c>
      <c r="I113">
        <v>67200000</v>
      </c>
      <c r="J113">
        <v>70</v>
      </c>
      <c r="K113" t="s">
        <v>27</v>
      </c>
      <c r="L113" t="s">
        <v>886</v>
      </c>
      <c r="M113" t="s">
        <v>66</v>
      </c>
      <c r="N113" s="1">
        <v>45473</v>
      </c>
    </row>
    <row r="114" spans="1:14" x14ac:dyDescent="0.45">
      <c r="A114" t="s">
        <v>401</v>
      </c>
      <c r="B114" t="s">
        <v>876</v>
      </c>
      <c r="C114" t="s">
        <v>969</v>
      </c>
      <c r="D114" t="s">
        <v>205</v>
      </c>
      <c r="E114">
        <v>2700000000</v>
      </c>
      <c r="F114">
        <v>2500000000</v>
      </c>
      <c r="G114">
        <v>200000000</v>
      </c>
      <c r="H114">
        <v>810000000</v>
      </c>
      <c r="I114">
        <v>60000000</v>
      </c>
      <c r="J114">
        <v>30</v>
      </c>
      <c r="K114" t="s">
        <v>28</v>
      </c>
      <c r="L114" t="s">
        <v>878</v>
      </c>
      <c r="M114" t="s">
        <v>146</v>
      </c>
      <c r="N114" s="1">
        <v>45436</v>
      </c>
    </row>
    <row r="115" spans="1:14" x14ac:dyDescent="0.45">
      <c r="A115" t="s">
        <v>403</v>
      </c>
      <c r="B115" t="s">
        <v>970</v>
      </c>
      <c r="C115" t="s">
        <v>971</v>
      </c>
      <c r="D115" t="s">
        <v>405</v>
      </c>
      <c r="E115">
        <v>684000000</v>
      </c>
      <c r="F115">
        <v>0</v>
      </c>
      <c r="G115">
        <v>684000000</v>
      </c>
      <c r="H115">
        <v>205200000</v>
      </c>
      <c r="I115">
        <v>205200000</v>
      </c>
      <c r="J115">
        <v>30</v>
      </c>
      <c r="K115" t="s">
        <v>33</v>
      </c>
      <c r="L115" t="s">
        <v>937</v>
      </c>
      <c r="M115" t="s">
        <v>66</v>
      </c>
      <c r="N115" s="1">
        <v>45443</v>
      </c>
    </row>
    <row r="116" spans="1:14" x14ac:dyDescent="0.45">
      <c r="A116" t="s">
        <v>406</v>
      </c>
      <c r="B116" t="s">
        <v>845</v>
      </c>
      <c r="C116" t="s">
        <v>868</v>
      </c>
      <c r="D116" t="s">
        <v>169</v>
      </c>
      <c r="E116">
        <v>200000000</v>
      </c>
      <c r="F116">
        <v>0</v>
      </c>
      <c r="G116">
        <v>200000000</v>
      </c>
      <c r="H116">
        <v>50000000</v>
      </c>
      <c r="I116">
        <v>50000000</v>
      </c>
      <c r="J116">
        <v>25</v>
      </c>
      <c r="K116" t="s">
        <v>29</v>
      </c>
      <c r="L116" t="s">
        <v>847</v>
      </c>
      <c r="M116" t="s">
        <v>66</v>
      </c>
      <c r="N116" s="1">
        <v>45565</v>
      </c>
    </row>
    <row r="117" spans="1:14" x14ac:dyDescent="0.45">
      <c r="A117" t="s">
        <v>408</v>
      </c>
      <c r="B117" t="s">
        <v>832</v>
      </c>
      <c r="C117" t="s">
        <v>972</v>
      </c>
      <c r="D117" t="s">
        <v>95</v>
      </c>
      <c r="E117">
        <v>1000000000</v>
      </c>
      <c r="F117">
        <v>900000000</v>
      </c>
      <c r="G117">
        <v>100000000</v>
      </c>
      <c r="H117">
        <v>200000000</v>
      </c>
      <c r="I117">
        <v>20000000</v>
      </c>
      <c r="J117">
        <v>20</v>
      </c>
      <c r="K117" t="s">
        <v>25</v>
      </c>
      <c r="L117" t="s">
        <v>834</v>
      </c>
      <c r="M117" t="s">
        <v>66</v>
      </c>
      <c r="N117" s="1">
        <v>45471</v>
      </c>
    </row>
    <row r="118" spans="1:14" x14ac:dyDescent="0.45">
      <c r="A118" t="s">
        <v>413</v>
      </c>
      <c r="B118" t="s">
        <v>884</v>
      </c>
      <c r="C118" t="s">
        <v>973</v>
      </c>
      <c r="D118" t="s">
        <v>145</v>
      </c>
      <c r="E118">
        <v>3000000000</v>
      </c>
      <c r="F118">
        <v>2000000000</v>
      </c>
      <c r="G118">
        <v>1000000000</v>
      </c>
      <c r="H118">
        <v>900000000</v>
      </c>
      <c r="I118">
        <v>300000000</v>
      </c>
      <c r="J118">
        <v>30</v>
      </c>
      <c r="K118" t="s">
        <v>27</v>
      </c>
      <c r="L118" t="s">
        <v>886</v>
      </c>
      <c r="M118" t="s">
        <v>66</v>
      </c>
      <c r="N118" s="1">
        <v>45565</v>
      </c>
    </row>
    <row r="119" spans="1:14" x14ac:dyDescent="0.45">
      <c r="A119" t="s">
        <v>417</v>
      </c>
      <c r="B119" t="s">
        <v>884</v>
      </c>
      <c r="C119" t="s">
        <v>974</v>
      </c>
      <c r="D119" t="s">
        <v>145</v>
      </c>
      <c r="E119">
        <v>3000000000</v>
      </c>
      <c r="F119">
        <v>2000000000</v>
      </c>
      <c r="G119">
        <v>1000000000</v>
      </c>
      <c r="H119">
        <v>900000000</v>
      </c>
      <c r="I119">
        <v>300000000</v>
      </c>
      <c r="J119">
        <v>30</v>
      </c>
      <c r="K119" t="s">
        <v>27</v>
      </c>
      <c r="L119" t="s">
        <v>886</v>
      </c>
      <c r="M119" t="s">
        <v>66</v>
      </c>
      <c r="N119" s="1">
        <v>45565</v>
      </c>
    </row>
    <row r="120" spans="1:14" x14ac:dyDescent="0.45">
      <c r="A120" t="s">
        <v>428</v>
      </c>
      <c r="B120" t="s">
        <v>975</v>
      </c>
      <c r="C120" t="s">
        <v>976</v>
      </c>
      <c r="D120" t="s">
        <v>423</v>
      </c>
      <c r="E120">
        <v>2600000000</v>
      </c>
      <c r="F120">
        <v>2470000000</v>
      </c>
      <c r="G120">
        <v>130000000</v>
      </c>
      <c r="H120">
        <v>1820000000</v>
      </c>
      <c r="I120">
        <v>91000000</v>
      </c>
      <c r="J120">
        <v>70</v>
      </c>
      <c r="K120" t="s">
        <v>34</v>
      </c>
      <c r="L120" t="s">
        <v>842</v>
      </c>
      <c r="M120" t="s">
        <v>146</v>
      </c>
      <c r="N120" s="1">
        <v>45504</v>
      </c>
    </row>
    <row r="121" spans="1:14" x14ac:dyDescent="0.45">
      <c r="A121" t="s">
        <v>430</v>
      </c>
      <c r="B121" t="s">
        <v>977</v>
      </c>
      <c r="C121" t="s">
        <v>978</v>
      </c>
      <c r="D121" t="s">
        <v>145</v>
      </c>
      <c r="E121">
        <v>323000000</v>
      </c>
      <c r="F121">
        <v>0</v>
      </c>
      <c r="G121">
        <v>323000000</v>
      </c>
      <c r="H121">
        <v>226100000</v>
      </c>
      <c r="I121">
        <v>226100000</v>
      </c>
      <c r="J121">
        <v>70</v>
      </c>
      <c r="K121" t="s">
        <v>27</v>
      </c>
      <c r="L121" t="s">
        <v>886</v>
      </c>
      <c r="M121" t="s">
        <v>146</v>
      </c>
      <c r="N121" s="1">
        <v>45463</v>
      </c>
    </row>
    <row r="122" spans="1:14" x14ac:dyDescent="0.45">
      <c r="A122" t="s">
        <v>435</v>
      </c>
      <c r="B122" t="s">
        <v>884</v>
      </c>
      <c r="C122" t="s">
        <v>879</v>
      </c>
      <c r="D122" t="s">
        <v>169</v>
      </c>
      <c r="E122">
        <v>20000000</v>
      </c>
      <c r="F122">
        <v>0</v>
      </c>
      <c r="G122">
        <v>20000000</v>
      </c>
      <c r="H122">
        <v>10000000</v>
      </c>
      <c r="I122">
        <v>10000000</v>
      </c>
      <c r="J122">
        <v>50</v>
      </c>
      <c r="K122" t="s">
        <v>27</v>
      </c>
      <c r="L122" t="s">
        <v>886</v>
      </c>
      <c r="M122" t="s">
        <v>146</v>
      </c>
      <c r="N122" s="1">
        <v>45535</v>
      </c>
    </row>
    <row r="123" spans="1:14" x14ac:dyDescent="0.45">
      <c r="A123" t="s">
        <v>437</v>
      </c>
      <c r="B123" t="s">
        <v>927</v>
      </c>
      <c r="C123" t="s">
        <v>438</v>
      </c>
      <c r="D123" t="s">
        <v>161</v>
      </c>
      <c r="E123">
        <v>10000000000</v>
      </c>
      <c r="F123">
        <v>8000000000</v>
      </c>
      <c r="G123">
        <v>2000000000</v>
      </c>
      <c r="H123">
        <v>4000000000</v>
      </c>
      <c r="I123">
        <v>800000000</v>
      </c>
      <c r="J123">
        <v>40</v>
      </c>
      <c r="K123" t="s">
        <v>34</v>
      </c>
      <c r="L123" t="s">
        <v>842</v>
      </c>
      <c r="M123" t="s">
        <v>66</v>
      </c>
      <c r="N123" s="1">
        <v>45504</v>
      </c>
    </row>
    <row r="124" spans="1:14" x14ac:dyDescent="0.45">
      <c r="A124" t="s">
        <v>440</v>
      </c>
      <c r="B124" t="s">
        <v>979</v>
      </c>
      <c r="C124" t="s">
        <v>980</v>
      </c>
      <c r="D124" t="s">
        <v>161</v>
      </c>
      <c r="E124">
        <v>3000000000</v>
      </c>
      <c r="F124">
        <v>2165000000</v>
      </c>
      <c r="G124">
        <v>835000000</v>
      </c>
      <c r="H124">
        <v>1500000000</v>
      </c>
      <c r="I124">
        <v>417500000</v>
      </c>
      <c r="J124">
        <v>50</v>
      </c>
      <c r="K124" t="s">
        <v>28</v>
      </c>
      <c r="L124" t="s">
        <v>878</v>
      </c>
      <c r="M124" t="s">
        <v>66</v>
      </c>
      <c r="N124" s="1">
        <v>45504</v>
      </c>
    </row>
    <row r="125" spans="1:14" x14ac:dyDescent="0.45">
      <c r="A125" t="s">
        <v>443</v>
      </c>
      <c r="B125" t="s">
        <v>851</v>
      </c>
      <c r="C125" t="s">
        <v>849</v>
      </c>
      <c r="D125" t="s">
        <v>41</v>
      </c>
      <c r="E125">
        <v>300000000</v>
      </c>
      <c r="F125">
        <v>0</v>
      </c>
      <c r="G125">
        <v>300000000</v>
      </c>
      <c r="H125">
        <v>120000000</v>
      </c>
      <c r="I125">
        <v>120000000</v>
      </c>
      <c r="J125">
        <v>40</v>
      </c>
      <c r="K125" t="s">
        <v>31</v>
      </c>
      <c r="L125" t="s">
        <v>853</v>
      </c>
      <c r="M125" t="s">
        <v>42</v>
      </c>
      <c r="N125" s="1">
        <v>45471</v>
      </c>
    </row>
    <row r="126" spans="1:14" x14ac:dyDescent="0.45">
      <c r="A126" t="s">
        <v>445</v>
      </c>
      <c r="B126" t="s">
        <v>981</v>
      </c>
      <c r="C126" t="s">
        <v>982</v>
      </c>
      <c r="D126" t="s">
        <v>447</v>
      </c>
      <c r="E126">
        <v>1000000000</v>
      </c>
      <c r="F126">
        <v>0</v>
      </c>
      <c r="G126">
        <v>1000000000</v>
      </c>
      <c r="H126">
        <v>200000000</v>
      </c>
      <c r="I126">
        <v>200000000</v>
      </c>
      <c r="J126">
        <v>20</v>
      </c>
      <c r="K126" t="s">
        <v>31</v>
      </c>
      <c r="L126" t="s">
        <v>968</v>
      </c>
      <c r="M126" t="s">
        <v>42</v>
      </c>
      <c r="N126" s="1">
        <v>45504</v>
      </c>
    </row>
    <row r="127" spans="1:14" x14ac:dyDescent="0.45">
      <c r="A127" t="s">
        <v>449</v>
      </c>
      <c r="B127" t="s">
        <v>906</v>
      </c>
      <c r="C127" t="s">
        <v>983</v>
      </c>
      <c r="D127" t="s">
        <v>451</v>
      </c>
      <c r="E127">
        <v>500000000</v>
      </c>
      <c r="F127">
        <v>350000000</v>
      </c>
      <c r="G127">
        <v>150000000</v>
      </c>
      <c r="H127">
        <v>250000000</v>
      </c>
      <c r="I127">
        <v>75000000</v>
      </c>
      <c r="J127">
        <v>50</v>
      </c>
      <c r="K127" t="s">
        <v>32</v>
      </c>
      <c r="L127" t="s">
        <v>839</v>
      </c>
      <c r="M127" t="s">
        <v>42</v>
      </c>
      <c r="N127" s="1">
        <v>46234</v>
      </c>
    </row>
    <row r="128" spans="1:14" x14ac:dyDescent="0.45">
      <c r="A128" t="s">
        <v>455</v>
      </c>
      <c r="B128" t="s">
        <v>984</v>
      </c>
      <c r="C128" t="s">
        <v>893</v>
      </c>
      <c r="D128" t="s">
        <v>457</v>
      </c>
      <c r="E128">
        <v>1165000000</v>
      </c>
      <c r="F128">
        <v>990000000</v>
      </c>
      <c r="G128">
        <v>175000000</v>
      </c>
      <c r="H128">
        <v>582500000</v>
      </c>
      <c r="I128">
        <v>87500000</v>
      </c>
      <c r="J128">
        <v>50</v>
      </c>
      <c r="K128" t="s">
        <v>32</v>
      </c>
      <c r="L128" t="s">
        <v>839</v>
      </c>
      <c r="M128" t="s">
        <v>51</v>
      </c>
      <c r="N128" s="1">
        <v>46202</v>
      </c>
    </row>
    <row r="129" spans="1:14" x14ac:dyDescent="0.45">
      <c r="A129" t="s">
        <v>460</v>
      </c>
      <c r="B129" t="s">
        <v>985</v>
      </c>
      <c r="C129" t="s">
        <v>986</v>
      </c>
      <c r="D129" t="s">
        <v>462</v>
      </c>
      <c r="E129">
        <v>1300000000</v>
      </c>
      <c r="F129">
        <v>0</v>
      </c>
      <c r="G129">
        <v>1300000000</v>
      </c>
      <c r="H129">
        <v>910000000</v>
      </c>
      <c r="I129">
        <v>910000000</v>
      </c>
      <c r="J129">
        <v>70</v>
      </c>
      <c r="K129" t="s">
        <v>32</v>
      </c>
      <c r="L129" t="s">
        <v>987</v>
      </c>
      <c r="M129" t="s">
        <v>42</v>
      </c>
      <c r="N129" s="1">
        <v>46356</v>
      </c>
    </row>
    <row r="130" spans="1:14" x14ac:dyDescent="0.45">
      <c r="A130" t="s">
        <v>739</v>
      </c>
      <c r="B130" t="s">
        <v>890</v>
      </c>
      <c r="C130" t="s">
        <v>988</v>
      </c>
      <c r="D130" t="s">
        <v>594</v>
      </c>
      <c r="E130">
        <v>350000000</v>
      </c>
      <c r="F130">
        <v>330000000</v>
      </c>
      <c r="G130">
        <v>20000000</v>
      </c>
      <c r="H130">
        <v>245000000</v>
      </c>
      <c r="I130">
        <v>14000000</v>
      </c>
      <c r="J130">
        <v>70</v>
      </c>
      <c r="K130" t="s">
        <v>32</v>
      </c>
      <c r="L130" t="s">
        <v>839</v>
      </c>
      <c r="M130" t="s">
        <v>51</v>
      </c>
      <c r="N130" s="1">
        <v>46173</v>
      </c>
    </row>
    <row r="131" spans="1:14" x14ac:dyDescent="0.45">
      <c r="A131" t="s">
        <v>644</v>
      </c>
      <c r="B131" t="s">
        <v>989</v>
      </c>
      <c r="C131" t="s">
        <v>990</v>
      </c>
      <c r="D131" t="s">
        <v>643</v>
      </c>
      <c r="E131">
        <v>100000000</v>
      </c>
      <c r="F131">
        <v>75000000</v>
      </c>
      <c r="G131">
        <v>25000000</v>
      </c>
      <c r="H131">
        <v>30000000</v>
      </c>
      <c r="I131">
        <v>7500000</v>
      </c>
      <c r="J131">
        <v>30</v>
      </c>
      <c r="K131" t="s">
        <v>32</v>
      </c>
      <c r="L131" t="s">
        <v>839</v>
      </c>
      <c r="M131" t="s">
        <v>42</v>
      </c>
      <c r="N131" s="1">
        <v>46598</v>
      </c>
    </row>
    <row r="132" spans="1:14" x14ac:dyDescent="0.45">
      <c r="A132" t="s">
        <v>644</v>
      </c>
      <c r="B132" t="s">
        <v>991</v>
      </c>
      <c r="C132" t="s">
        <v>841</v>
      </c>
      <c r="D132" t="s">
        <v>643</v>
      </c>
      <c r="E132">
        <v>50000000</v>
      </c>
      <c r="F132">
        <v>25000000</v>
      </c>
      <c r="G132">
        <v>25000000</v>
      </c>
      <c r="H132">
        <v>15000000</v>
      </c>
      <c r="I132">
        <v>7500000</v>
      </c>
      <c r="J132">
        <v>30</v>
      </c>
      <c r="K132" t="s">
        <v>32</v>
      </c>
      <c r="L132" t="s">
        <v>839</v>
      </c>
      <c r="M132" t="s">
        <v>42</v>
      </c>
      <c r="N132" s="1">
        <v>46598</v>
      </c>
    </row>
    <row r="133" spans="1:14" x14ac:dyDescent="0.45">
      <c r="A133" t="s">
        <v>644</v>
      </c>
      <c r="B133" t="s">
        <v>992</v>
      </c>
      <c r="C133" t="s">
        <v>993</v>
      </c>
      <c r="D133" t="s">
        <v>643</v>
      </c>
      <c r="E133">
        <v>50000000</v>
      </c>
      <c r="F133">
        <v>0</v>
      </c>
      <c r="G133">
        <v>50000000</v>
      </c>
      <c r="H133">
        <v>15000000</v>
      </c>
      <c r="I133">
        <v>15000000</v>
      </c>
      <c r="J133">
        <v>30</v>
      </c>
      <c r="K133" t="s">
        <v>32</v>
      </c>
      <c r="L133" t="s">
        <v>839</v>
      </c>
      <c r="M133" t="s">
        <v>42</v>
      </c>
      <c r="N133" s="1">
        <v>46598</v>
      </c>
    </row>
    <row r="134" spans="1:14" x14ac:dyDescent="0.45">
      <c r="A134" t="s">
        <v>466</v>
      </c>
      <c r="B134" t="s">
        <v>880</v>
      </c>
      <c r="C134" t="s">
        <v>556</v>
      </c>
      <c r="D134" t="s">
        <v>468</v>
      </c>
      <c r="E134">
        <v>150000000</v>
      </c>
      <c r="F134">
        <v>0</v>
      </c>
      <c r="G134">
        <v>150000000</v>
      </c>
      <c r="H134">
        <v>75000000</v>
      </c>
      <c r="I134">
        <v>75000000</v>
      </c>
      <c r="J134">
        <v>50</v>
      </c>
      <c r="K134" t="s">
        <v>32</v>
      </c>
      <c r="L134" t="s">
        <v>839</v>
      </c>
      <c r="M134" t="s">
        <v>66</v>
      </c>
      <c r="N134" s="1">
        <v>46234</v>
      </c>
    </row>
    <row r="135" spans="1:14" x14ac:dyDescent="0.45">
      <c r="A135" t="s">
        <v>471</v>
      </c>
      <c r="B135" t="s">
        <v>561</v>
      </c>
      <c r="C135" t="s">
        <v>472</v>
      </c>
      <c r="D135" t="s">
        <v>473</v>
      </c>
      <c r="E135">
        <v>40000000</v>
      </c>
      <c r="F135">
        <v>0</v>
      </c>
      <c r="G135">
        <v>40000000</v>
      </c>
      <c r="H135">
        <v>20000000</v>
      </c>
      <c r="I135">
        <v>20000000</v>
      </c>
      <c r="J135">
        <v>50</v>
      </c>
      <c r="K135" t="s">
        <v>32</v>
      </c>
      <c r="L135" t="s">
        <v>839</v>
      </c>
      <c r="M135" t="s">
        <v>42</v>
      </c>
      <c r="N135" s="1">
        <v>46326</v>
      </c>
    </row>
    <row r="136" spans="1:14" x14ac:dyDescent="0.45">
      <c r="A136" t="s">
        <v>474</v>
      </c>
      <c r="B136" t="s">
        <v>890</v>
      </c>
      <c r="C136" t="s">
        <v>994</v>
      </c>
      <c r="D136" t="s">
        <v>476</v>
      </c>
      <c r="E136">
        <v>806768000</v>
      </c>
      <c r="F136">
        <v>766429299</v>
      </c>
      <c r="G136">
        <v>40338701</v>
      </c>
      <c r="H136">
        <v>403384000</v>
      </c>
      <c r="I136">
        <v>20169350.5</v>
      </c>
      <c r="J136">
        <v>50</v>
      </c>
      <c r="K136" t="s">
        <v>32</v>
      </c>
      <c r="L136" t="s">
        <v>839</v>
      </c>
      <c r="M136" t="s">
        <v>51</v>
      </c>
      <c r="N136" s="1">
        <v>46171</v>
      </c>
    </row>
    <row r="137" spans="1:14" x14ac:dyDescent="0.45">
      <c r="A137" t="s">
        <v>455</v>
      </c>
      <c r="B137" t="s">
        <v>995</v>
      </c>
      <c r="C137" t="s">
        <v>841</v>
      </c>
      <c r="D137" t="s">
        <v>457</v>
      </c>
      <c r="E137">
        <v>148000000</v>
      </c>
      <c r="F137">
        <v>0</v>
      </c>
      <c r="G137">
        <v>148000000</v>
      </c>
      <c r="H137">
        <v>74000000</v>
      </c>
      <c r="I137">
        <v>74000000</v>
      </c>
      <c r="J137">
        <v>50</v>
      </c>
      <c r="K137" t="s">
        <v>32</v>
      </c>
      <c r="L137" t="s">
        <v>839</v>
      </c>
      <c r="M137" t="s">
        <v>51</v>
      </c>
      <c r="N137" s="1">
        <v>46202</v>
      </c>
    </row>
    <row r="138" spans="1:14" x14ac:dyDescent="0.45">
      <c r="A138" t="s">
        <v>455</v>
      </c>
      <c r="B138" t="s">
        <v>996</v>
      </c>
      <c r="C138" t="s">
        <v>997</v>
      </c>
      <c r="D138" t="s">
        <v>457</v>
      </c>
      <c r="E138">
        <v>33000000</v>
      </c>
      <c r="F138">
        <v>0</v>
      </c>
      <c r="G138">
        <v>33000000</v>
      </c>
      <c r="H138">
        <v>16500000</v>
      </c>
      <c r="I138">
        <v>16500000</v>
      </c>
      <c r="J138">
        <v>50</v>
      </c>
      <c r="K138" t="s">
        <v>32</v>
      </c>
      <c r="L138" t="s">
        <v>839</v>
      </c>
      <c r="M138" t="s">
        <v>51</v>
      </c>
      <c r="N138" s="1">
        <v>46202</v>
      </c>
    </row>
    <row r="139" spans="1:14" x14ac:dyDescent="0.45">
      <c r="A139" t="s">
        <v>480</v>
      </c>
      <c r="B139" t="s">
        <v>998</v>
      </c>
      <c r="C139" t="s">
        <v>999</v>
      </c>
      <c r="D139" t="s">
        <v>482</v>
      </c>
      <c r="E139">
        <v>75000000</v>
      </c>
      <c r="F139">
        <v>0</v>
      </c>
      <c r="G139">
        <v>75000000</v>
      </c>
      <c r="H139">
        <v>37500000</v>
      </c>
      <c r="I139">
        <v>37500000</v>
      </c>
      <c r="J139">
        <v>50</v>
      </c>
      <c r="K139" t="s">
        <v>32</v>
      </c>
      <c r="L139" t="s">
        <v>839</v>
      </c>
      <c r="M139" t="s">
        <v>66</v>
      </c>
      <c r="N139" s="1">
        <v>45869</v>
      </c>
    </row>
    <row r="140" spans="1:14" x14ac:dyDescent="0.45">
      <c r="A140" t="s">
        <v>474</v>
      </c>
      <c r="B140" t="s">
        <v>996</v>
      </c>
      <c r="C140" t="s">
        <v>1000</v>
      </c>
      <c r="D140" t="s">
        <v>476</v>
      </c>
      <c r="E140">
        <v>70000000</v>
      </c>
      <c r="F140">
        <v>0</v>
      </c>
      <c r="G140">
        <v>70000000</v>
      </c>
      <c r="H140">
        <v>35000000</v>
      </c>
      <c r="I140">
        <v>35000000</v>
      </c>
      <c r="J140">
        <v>50</v>
      </c>
      <c r="K140" t="s">
        <v>32</v>
      </c>
      <c r="L140" t="s">
        <v>839</v>
      </c>
      <c r="M140" t="s">
        <v>51</v>
      </c>
      <c r="N140" s="1">
        <v>46171</v>
      </c>
    </row>
    <row r="141" spans="1:14" x14ac:dyDescent="0.45">
      <c r="A141" t="s">
        <v>484</v>
      </c>
      <c r="B141" t="s">
        <v>989</v>
      </c>
      <c r="C141" t="s">
        <v>1001</v>
      </c>
      <c r="D141" t="s">
        <v>486</v>
      </c>
      <c r="E141">
        <v>160000000</v>
      </c>
      <c r="F141">
        <v>130000000</v>
      </c>
      <c r="G141">
        <v>30000000</v>
      </c>
      <c r="H141">
        <v>80000000</v>
      </c>
      <c r="I141">
        <v>15000000</v>
      </c>
      <c r="J141">
        <v>50</v>
      </c>
      <c r="K141" t="s">
        <v>32</v>
      </c>
      <c r="L141" t="s">
        <v>839</v>
      </c>
      <c r="M141" t="s">
        <v>66</v>
      </c>
      <c r="N141" s="1">
        <v>46192</v>
      </c>
    </row>
    <row r="142" spans="1:14" x14ac:dyDescent="0.45">
      <c r="A142" t="s">
        <v>488</v>
      </c>
      <c r="B142" t="s">
        <v>880</v>
      </c>
      <c r="C142" t="s">
        <v>1002</v>
      </c>
      <c r="D142" t="s">
        <v>490</v>
      </c>
      <c r="E142">
        <v>1150000000</v>
      </c>
      <c r="F142">
        <v>0</v>
      </c>
      <c r="G142">
        <v>1150000000</v>
      </c>
      <c r="H142">
        <v>575000000</v>
      </c>
      <c r="I142">
        <v>575000000</v>
      </c>
      <c r="J142">
        <v>50</v>
      </c>
      <c r="K142" t="s">
        <v>32</v>
      </c>
      <c r="L142" t="s">
        <v>839</v>
      </c>
      <c r="M142" t="s">
        <v>210</v>
      </c>
      <c r="N142" s="1">
        <v>46142</v>
      </c>
    </row>
    <row r="143" spans="1:14" x14ac:dyDescent="0.45">
      <c r="A143" t="s">
        <v>493</v>
      </c>
      <c r="B143" t="s">
        <v>1003</v>
      </c>
      <c r="C143" t="s">
        <v>1004</v>
      </c>
      <c r="D143" t="s">
        <v>473</v>
      </c>
      <c r="E143">
        <v>81600000</v>
      </c>
      <c r="F143">
        <v>57120000</v>
      </c>
      <c r="G143">
        <v>24480000</v>
      </c>
      <c r="H143">
        <v>40800000</v>
      </c>
      <c r="I143">
        <v>12240000</v>
      </c>
      <c r="J143">
        <v>50</v>
      </c>
      <c r="K143" t="s">
        <v>32</v>
      </c>
      <c r="L143" t="s">
        <v>987</v>
      </c>
      <c r="M143" t="s">
        <v>66</v>
      </c>
      <c r="N143" s="1">
        <v>46234</v>
      </c>
    </row>
    <row r="144" spans="1:14" x14ac:dyDescent="0.45">
      <c r="A144" t="s">
        <v>1005</v>
      </c>
      <c r="B144" t="s">
        <v>848</v>
      </c>
      <c r="C144" t="s">
        <v>1006</v>
      </c>
      <c r="D144" t="s">
        <v>521</v>
      </c>
      <c r="E144">
        <v>250000000</v>
      </c>
      <c r="F144">
        <v>150000000</v>
      </c>
      <c r="G144">
        <v>100000000</v>
      </c>
      <c r="H144">
        <v>125000000</v>
      </c>
      <c r="I144">
        <v>50000000</v>
      </c>
      <c r="J144">
        <v>50</v>
      </c>
      <c r="K144" t="s">
        <v>32</v>
      </c>
      <c r="L144" t="s">
        <v>987</v>
      </c>
      <c r="M144" t="s">
        <v>42</v>
      </c>
      <c r="N144" s="1">
        <v>46265</v>
      </c>
    </row>
    <row r="145" spans="1:14" x14ac:dyDescent="0.45">
      <c r="A145" t="s">
        <v>1007</v>
      </c>
      <c r="B145" t="s">
        <v>855</v>
      </c>
      <c r="C145" t="s">
        <v>1008</v>
      </c>
      <c r="D145" t="s">
        <v>1009</v>
      </c>
      <c r="E145">
        <v>100000000</v>
      </c>
      <c r="F145">
        <v>0</v>
      </c>
      <c r="G145">
        <v>100000000</v>
      </c>
      <c r="H145">
        <v>60000000</v>
      </c>
      <c r="I145">
        <v>60000000</v>
      </c>
      <c r="J145">
        <v>60</v>
      </c>
      <c r="K145" t="s">
        <v>32</v>
      </c>
      <c r="L145" t="s">
        <v>839</v>
      </c>
      <c r="M145" t="s">
        <v>42</v>
      </c>
      <c r="N145" s="1">
        <v>45930</v>
      </c>
    </row>
    <row r="146" spans="1:14" x14ac:dyDescent="0.45">
      <c r="A146" t="s">
        <v>496</v>
      </c>
      <c r="B146" t="s">
        <v>880</v>
      </c>
      <c r="C146" t="s">
        <v>1010</v>
      </c>
      <c r="D146" t="s">
        <v>498</v>
      </c>
      <c r="E146">
        <v>50000000</v>
      </c>
      <c r="F146">
        <v>0</v>
      </c>
      <c r="G146">
        <v>50000000</v>
      </c>
      <c r="H146">
        <v>25000000</v>
      </c>
      <c r="I146">
        <v>25000000</v>
      </c>
      <c r="J146">
        <v>50</v>
      </c>
      <c r="K146" t="s">
        <v>32</v>
      </c>
      <c r="L146" t="s">
        <v>839</v>
      </c>
      <c r="M146" t="s">
        <v>42</v>
      </c>
      <c r="N146" s="1">
        <v>46322</v>
      </c>
    </row>
    <row r="147" spans="1:14" x14ac:dyDescent="0.45">
      <c r="A147" t="s">
        <v>501</v>
      </c>
      <c r="B147" t="s">
        <v>848</v>
      </c>
      <c r="C147" t="s">
        <v>1011</v>
      </c>
      <c r="D147" t="s">
        <v>503</v>
      </c>
      <c r="E147">
        <v>450000000</v>
      </c>
      <c r="F147">
        <v>0</v>
      </c>
      <c r="G147">
        <v>450000000</v>
      </c>
      <c r="H147">
        <v>225000000</v>
      </c>
      <c r="I147">
        <v>225000000</v>
      </c>
      <c r="J147">
        <v>50</v>
      </c>
      <c r="K147" t="s">
        <v>32</v>
      </c>
      <c r="L147" t="s">
        <v>987</v>
      </c>
      <c r="M147" t="s">
        <v>66</v>
      </c>
      <c r="N147" s="1">
        <v>46217</v>
      </c>
    </row>
    <row r="148" spans="1:14" x14ac:dyDescent="0.45">
      <c r="A148" t="s">
        <v>655</v>
      </c>
      <c r="B148" t="s">
        <v>915</v>
      </c>
      <c r="C148" t="s">
        <v>1012</v>
      </c>
      <c r="D148" t="s">
        <v>152</v>
      </c>
      <c r="E148">
        <v>200000000</v>
      </c>
      <c r="F148">
        <v>0</v>
      </c>
      <c r="G148">
        <v>200000000</v>
      </c>
      <c r="H148">
        <v>140000000</v>
      </c>
      <c r="I148">
        <v>140000000</v>
      </c>
      <c r="J148">
        <v>70</v>
      </c>
      <c r="K148" t="s">
        <v>32</v>
      </c>
      <c r="L148" t="s">
        <v>828</v>
      </c>
      <c r="M148" t="s">
        <v>51</v>
      </c>
      <c r="N148" s="1">
        <v>46172</v>
      </c>
    </row>
    <row r="149" spans="1:14" x14ac:dyDescent="0.45">
      <c r="A149" t="s">
        <v>506</v>
      </c>
      <c r="B149" t="s">
        <v>1013</v>
      </c>
      <c r="C149" t="s">
        <v>507</v>
      </c>
      <c r="D149" t="s">
        <v>451</v>
      </c>
      <c r="E149">
        <v>500000000</v>
      </c>
      <c r="F149">
        <v>400000000</v>
      </c>
      <c r="G149">
        <v>100000000</v>
      </c>
      <c r="H149">
        <v>250000000</v>
      </c>
      <c r="I149">
        <v>50000000</v>
      </c>
      <c r="J149">
        <v>50</v>
      </c>
      <c r="K149" t="s">
        <v>32</v>
      </c>
      <c r="L149" t="s">
        <v>839</v>
      </c>
      <c r="M149" t="s">
        <v>42</v>
      </c>
      <c r="N149" s="1">
        <v>46234</v>
      </c>
    </row>
    <row r="150" spans="1:14" x14ac:dyDescent="0.45">
      <c r="A150" t="s">
        <v>509</v>
      </c>
      <c r="B150" t="s">
        <v>1014</v>
      </c>
      <c r="C150" t="s">
        <v>1015</v>
      </c>
      <c r="D150" t="s">
        <v>476</v>
      </c>
      <c r="E150">
        <v>360000000</v>
      </c>
      <c r="F150">
        <v>300000000</v>
      </c>
      <c r="G150">
        <v>60000000</v>
      </c>
      <c r="H150">
        <v>180000000</v>
      </c>
      <c r="I150">
        <v>30000000</v>
      </c>
      <c r="J150">
        <v>50</v>
      </c>
      <c r="K150" t="s">
        <v>32</v>
      </c>
      <c r="L150" t="s">
        <v>839</v>
      </c>
      <c r="M150" t="s">
        <v>42</v>
      </c>
      <c r="N150" s="1">
        <v>46286</v>
      </c>
    </row>
    <row r="151" spans="1:14" x14ac:dyDescent="0.45">
      <c r="A151" t="s">
        <v>509</v>
      </c>
      <c r="B151" t="s">
        <v>1016</v>
      </c>
      <c r="C151" t="s">
        <v>1017</v>
      </c>
      <c r="D151" t="s">
        <v>476</v>
      </c>
      <c r="E151">
        <v>100000000</v>
      </c>
      <c r="F151">
        <v>0</v>
      </c>
      <c r="G151">
        <v>100000000</v>
      </c>
      <c r="H151">
        <v>50000000</v>
      </c>
      <c r="I151">
        <v>50000000</v>
      </c>
      <c r="J151">
        <v>50</v>
      </c>
      <c r="K151" t="s">
        <v>32</v>
      </c>
      <c r="L151" t="s">
        <v>839</v>
      </c>
      <c r="M151" t="s">
        <v>42</v>
      </c>
      <c r="N151" s="1">
        <v>46286</v>
      </c>
    </row>
    <row r="152" spans="1:14" x14ac:dyDescent="0.45">
      <c r="A152" t="s">
        <v>512</v>
      </c>
      <c r="B152" t="s">
        <v>910</v>
      </c>
      <c r="C152" t="s">
        <v>1018</v>
      </c>
      <c r="D152" t="s">
        <v>457</v>
      </c>
      <c r="E152">
        <v>360000000</v>
      </c>
      <c r="F152">
        <v>300000000</v>
      </c>
      <c r="G152">
        <v>60000000</v>
      </c>
      <c r="H152">
        <v>180000000</v>
      </c>
      <c r="I152">
        <v>30000000</v>
      </c>
      <c r="J152">
        <v>50</v>
      </c>
      <c r="K152" t="s">
        <v>32</v>
      </c>
      <c r="L152" t="s">
        <v>839</v>
      </c>
      <c r="M152" t="s">
        <v>51</v>
      </c>
      <c r="N152" s="1">
        <v>46218</v>
      </c>
    </row>
    <row r="153" spans="1:14" x14ac:dyDescent="0.45">
      <c r="A153" t="s">
        <v>512</v>
      </c>
      <c r="B153" t="s">
        <v>995</v>
      </c>
      <c r="C153" t="s">
        <v>1019</v>
      </c>
      <c r="D153" t="s">
        <v>457</v>
      </c>
      <c r="E153">
        <v>100000000</v>
      </c>
      <c r="F153">
        <v>0</v>
      </c>
      <c r="G153">
        <v>100000000</v>
      </c>
      <c r="H153">
        <v>50000000</v>
      </c>
      <c r="I153">
        <v>50000000</v>
      </c>
      <c r="J153">
        <v>50</v>
      </c>
      <c r="K153" t="s">
        <v>32</v>
      </c>
      <c r="L153" t="s">
        <v>839</v>
      </c>
      <c r="M153" t="s">
        <v>51</v>
      </c>
      <c r="N153" s="1">
        <v>46218</v>
      </c>
    </row>
    <row r="154" spans="1:14" x14ac:dyDescent="0.45">
      <c r="A154" t="s">
        <v>516</v>
      </c>
      <c r="B154" t="s">
        <v>910</v>
      </c>
      <c r="C154" t="s">
        <v>1020</v>
      </c>
      <c r="D154" t="s">
        <v>152</v>
      </c>
      <c r="E154">
        <v>1700000000</v>
      </c>
      <c r="F154">
        <v>1650000000</v>
      </c>
      <c r="G154">
        <v>50000000</v>
      </c>
      <c r="H154">
        <v>1190000000</v>
      </c>
      <c r="I154">
        <v>35000000</v>
      </c>
      <c r="J154">
        <v>70</v>
      </c>
      <c r="K154" t="s">
        <v>32</v>
      </c>
      <c r="L154" t="s">
        <v>839</v>
      </c>
      <c r="M154" t="s">
        <v>51</v>
      </c>
      <c r="N154" s="1">
        <v>46203</v>
      </c>
    </row>
    <row r="155" spans="1:14" x14ac:dyDescent="0.45">
      <c r="A155" t="s">
        <v>516</v>
      </c>
      <c r="B155" t="s">
        <v>995</v>
      </c>
      <c r="C155" t="s">
        <v>1021</v>
      </c>
      <c r="D155" t="s">
        <v>152</v>
      </c>
      <c r="E155">
        <v>460000000</v>
      </c>
      <c r="F155">
        <v>0</v>
      </c>
      <c r="G155">
        <v>460000000</v>
      </c>
      <c r="H155">
        <v>322000000</v>
      </c>
      <c r="I155">
        <v>322000000</v>
      </c>
      <c r="J155">
        <v>70</v>
      </c>
      <c r="K155" t="s">
        <v>32</v>
      </c>
      <c r="L155" t="s">
        <v>839</v>
      </c>
      <c r="M155" t="s">
        <v>51</v>
      </c>
      <c r="N155" s="1">
        <v>46203</v>
      </c>
    </row>
    <row r="156" spans="1:14" x14ac:dyDescent="0.45">
      <c r="A156" t="s">
        <v>1022</v>
      </c>
      <c r="B156" t="s">
        <v>1003</v>
      </c>
      <c r="C156" t="s">
        <v>1023</v>
      </c>
      <c r="D156" t="s">
        <v>1024</v>
      </c>
      <c r="E156">
        <v>1400000000</v>
      </c>
      <c r="F156">
        <v>1400000000</v>
      </c>
      <c r="G156">
        <v>0</v>
      </c>
      <c r="H156">
        <v>700000000</v>
      </c>
      <c r="I156">
        <v>0</v>
      </c>
      <c r="J156">
        <v>50</v>
      </c>
      <c r="K156" t="s">
        <v>32</v>
      </c>
      <c r="L156" t="s">
        <v>987</v>
      </c>
      <c r="M156" t="s">
        <v>42</v>
      </c>
      <c r="N156" s="1">
        <v>46356</v>
      </c>
    </row>
    <row r="157" spans="1:14" x14ac:dyDescent="0.45">
      <c r="A157" t="s">
        <v>1022</v>
      </c>
      <c r="B157" t="s">
        <v>1025</v>
      </c>
      <c r="C157" t="s">
        <v>1026</v>
      </c>
      <c r="D157" t="s">
        <v>1024</v>
      </c>
      <c r="E157">
        <v>500000000</v>
      </c>
      <c r="F157">
        <v>500000000</v>
      </c>
      <c r="G157">
        <v>0</v>
      </c>
      <c r="H157">
        <v>250000000</v>
      </c>
      <c r="I157">
        <v>0</v>
      </c>
      <c r="J157">
        <v>50</v>
      </c>
      <c r="K157" t="s">
        <v>32</v>
      </c>
      <c r="L157" t="s">
        <v>987</v>
      </c>
      <c r="M157" t="s">
        <v>42</v>
      </c>
      <c r="N157" s="1">
        <v>46356</v>
      </c>
    </row>
    <row r="158" spans="1:14" x14ac:dyDescent="0.45">
      <c r="A158" t="s">
        <v>1022</v>
      </c>
      <c r="B158" t="s">
        <v>985</v>
      </c>
      <c r="C158" t="s">
        <v>1027</v>
      </c>
      <c r="D158" t="s">
        <v>1024</v>
      </c>
      <c r="E158">
        <v>300000000</v>
      </c>
      <c r="F158">
        <v>165000000</v>
      </c>
      <c r="G158">
        <v>135000000</v>
      </c>
      <c r="H158">
        <v>150000000</v>
      </c>
      <c r="I158">
        <v>67500000</v>
      </c>
      <c r="J158">
        <v>50</v>
      </c>
      <c r="K158" t="s">
        <v>32</v>
      </c>
      <c r="L158" t="s">
        <v>987</v>
      </c>
      <c r="M158" t="s">
        <v>42</v>
      </c>
      <c r="N158" s="1">
        <v>46356</v>
      </c>
    </row>
    <row r="159" spans="1:14" x14ac:dyDescent="0.45">
      <c r="A159" t="s">
        <v>519</v>
      </c>
      <c r="B159" t="s">
        <v>1003</v>
      </c>
      <c r="C159" t="s">
        <v>1028</v>
      </c>
      <c r="D159" t="s">
        <v>521</v>
      </c>
      <c r="E159">
        <v>35000000</v>
      </c>
      <c r="F159">
        <v>20000000</v>
      </c>
      <c r="G159">
        <v>15000000</v>
      </c>
      <c r="H159">
        <v>17500000</v>
      </c>
      <c r="I159">
        <v>7500000</v>
      </c>
      <c r="J159">
        <v>50</v>
      </c>
      <c r="K159" t="s">
        <v>32</v>
      </c>
      <c r="L159" t="s">
        <v>987</v>
      </c>
      <c r="M159" t="s">
        <v>42</v>
      </c>
      <c r="N159" s="1">
        <v>46234</v>
      </c>
    </row>
    <row r="160" spans="1:14" x14ac:dyDescent="0.45">
      <c r="A160" t="s">
        <v>474</v>
      </c>
      <c r="B160" t="s">
        <v>996</v>
      </c>
      <c r="C160" t="s">
        <v>674</v>
      </c>
      <c r="D160" t="s">
        <v>476</v>
      </c>
      <c r="E160">
        <v>65000000</v>
      </c>
      <c r="F160">
        <v>0</v>
      </c>
      <c r="G160">
        <v>65000000</v>
      </c>
      <c r="H160">
        <v>32500000</v>
      </c>
      <c r="I160">
        <v>32500000</v>
      </c>
      <c r="J160">
        <v>50</v>
      </c>
      <c r="K160" t="s">
        <v>32</v>
      </c>
      <c r="L160" t="s">
        <v>839</v>
      </c>
      <c r="M160" t="s">
        <v>51</v>
      </c>
      <c r="N160" s="1">
        <v>46171</v>
      </c>
    </row>
    <row r="161" spans="1:14" x14ac:dyDescent="0.45">
      <c r="A161" t="s">
        <v>605</v>
      </c>
      <c r="B161" t="s">
        <v>984</v>
      </c>
      <c r="C161" t="s">
        <v>1029</v>
      </c>
      <c r="D161" t="s">
        <v>552</v>
      </c>
      <c r="E161">
        <v>360000000</v>
      </c>
      <c r="F161">
        <v>350000000</v>
      </c>
      <c r="G161">
        <v>10000000</v>
      </c>
      <c r="H161">
        <v>72000000</v>
      </c>
      <c r="I161">
        <v>2000000</v>
      </c>
      <c r="J161">
        <v>20</v>
      </c>
      <c r="K161" t="s">
        <v>32</v>
      </c>
      <c r="L161" t="s">
        <v>839</v>
      </c>
      <c r="M161" t="s">
        <v>66</v>
      </c>
      <c r="N161" s="1">
        <v>46265</v>
      </c>
    </row>
    <row r="162" spans="1:14" x14ac:dyDescent="0.45">
      <c r="A162" t="s">
        <v>605</v>
      </c>
      <c r="B162" t="s">
        <v>1030</v>
      </c>
      <c r="C162" t="s">
        <v>1031</v>
      </c>
      <c r="D162" t="s">
        <v>552</v>
      </c>
      <c r="E162">
        <v>90000000</v>
      </c>
      <c r="F162">
        <v>0</v>
      </c>
      <c r="G162">
        <v>90000000</v>
      </c>
      <c r="H162">
        <v>18000000</v>
      </c>
      <c r="I162">
        <v>18000000</v>
      </c>
      <c r="J162">
        <v>20</v>
      </c>
      <c r="K162" t="s">
        <v>32</v>
      </c>
      <c r="L162" t="s">
        <v>839</v>
      </c>
      <c r="M162" t="s">
        <v>66</v>
      </c>
      <c r="N162" s="1">
        <v>46265</v>
      </c>
    </row>
    <row r="163" spans="1:14" x14ac:dyDescent="0.45">
      <c r="A163" t="s">
        <v>605</v>
      </c>
      <c r="B163" t="s">
        <v>1030</v>
      </c>
      <c r="C163" t="s">
        <v>1029</v>
      </c>
      <c r="D163" t="s">
        <v>552</v>
      </c>
      <c r="E163">
        <v>50000000</v>
      </c>
      <c r="F163">
        <v>0</v>
      </c>
      <c r="G163">
        <v>50000000</v>
      </c>
      <c r="H163">
        <v>10000000</v>
      </c>
      <c r="I163">
        <v>10000000</v>
      </c>
      <c r="J163">
        <v>20</v>
      </c>
      <c r="K163" t="s">
        <v>32</v>
      </c>
      <c r="L163" t="s">
        <v>839</v>
      </c>
      <c r="M163" t="s">
        <v>66</v>
      </c>
      <c r="N163" s="1">
        <v>46265</v>
      </c>
    </row>
    <row r="164" spans="1:14" x14ac:dyDescent="0.45">
      <c r="A164" t="s">
        <v>524</v>
      </c>
      <c r="B164" t="s">
        <v>985</v>
      </c>
      <c r="C164" t="s">
        <v>525</v>
      </c>
      <c r="D164" t="s">
        <v>503</v>
      </c>
      <c r="E164">
        <v>315000000</v>
      </c>
      <c r="F164">
        <v>0</v>
      </c>
      <c r="G164">
        <v>315000000</v>
      </c>
      <c r="H164">
        <v>157500000</v>
      </c>
      <c r="I164">
        <v>157500000</v>
      </c>
      <c r="J164">
        <v>50</v>
      </c>
      <c r="K164" t="s">
        <v>32</v>
      </c>
      <c r="L164" t="s">
        <v>987</v>
      </c>
      <c r="M164" t="s">
        <v>42</v>
      </c>
      <c r="N164" s="1">
        <v>46258</v>
      </c>
    </row>
    <row r="165" spans="1:14" x14ac:dyDescent="0.45">
      <c r="A165" t="s">
        <v>527</v>
      </c>
      <c r="B165" t="s">
        <v>1032</v>
      </c>
      <c r="C165" t="s">
        <v>1033</v>
      </c>
      <c r="D165" t="s">
        <v>529</v>
      </c>
      <c r="E165">
        <v>216000000</v>
      </c>
      <c r="F165">
        <v>170000000</v>
      </c>
      <c r="G165">
        <v>46000000</v>
      </c>
      <c r="H165">
        <v>64800000</v>
      </c>
      <c r="I165">
        <v>13800000</v>
      </c>
      <c r="J165">
        <v>30</v>
      </c>
      <c r="K165" t="s">
        <v>32</v>
      </c>
      <c r="L165" t="s">
        <v>839</v>
      </c>
      <c r="M165" t="s">
        <v>146</v>
      </c>
      <c r="N165" s="1">
        <v>46203</v>
      </c>
    </row>
    <row r="166" spans="1:14" x14ac:dyDescent="0.45">
      <c r="A166" t="s">
        <v>527</v>
      </c>
      <c r="B166" t="s">
        <v>1034</v>
      </c>
      <c r="C166" t="s">
        <v>962</v>
      </c>
      <c r="D166" t="s">
        <v>529</v>
      </c>
      <c r="E166">
        <v>65000000</v>
      </c>
      <c r="F166">
        <v>60000000</v>
      </c>
      <c r="G166">
        <v>5000000</v>
      </c>
      <c r="H166">
        <v>19500000</v>
      </c>
      <c r="I166">
        <v>1500000</v>
      </c>
      <c r="J166">
        <v>30</v>
      </c>
      <c r="K166" t="s">
        <v>32</v>
      </c>
      <c r="L166" t="s">
        <v>839</v>
      </c>
      <c r="M166" t="s">
        <v>146</v>
      </c>
      <c r="N166" s="1">
        <v>46203</v>
      </c>
    </row>
    <row r="167" spans="1:14" x14ac:dyDescent="0.45">
      <c r="A167" t="s">
        <v>530</v>
      </c>
      <c r="B167" t="s">
        <v>984</v>
      </c>
      <c r="C167" t="s">
        <v>911</v>
      </c>
      <c r="D167" t="s">
        <v>423</v>
      </c>
      <c r="E167">
        <v>560000000</v>
      </c>
      <c r="F167">
        <v>550000000</v>
      </c>
      <c r="G167">
        <v>10000000</v>
      </c>
      <c r="H167">
        <v>392000000</v>
      </c>
      <c r="I167">
        <v>7000000</v>
      </c>
      <c r="J167">
        <v>70</v>
      </c>
      <c r="K167" t="s">
        <v>32</v>
      </c>
      <c r="L167" t="s">
        <v>839</v>
      </c>
      <c r="M167" t="s">
        <v>66</v>
      </c>
      <c r="N167" s="1">
        <v>46356</v>
      </c>
    </row>
    <row r="168" spans="1:14" x14ac:dyDescent="0.45">
      <c r="A168" t="s">
        <v>530</v>
      </c>
      <c r="B168" t="s">
        <v>1030</v>
      </c>
      <c r="C168" t="s">
        <v>1035</v>
      </c>
      <c r="D168" t="s">
        <v>423</v>
      </c>
      <c r="E168">
        <v>25000000</v>
      </c>
      <c r="F168">
        <v>0</v>
      </c>
      <c r="G168">
        <v>25000000</v>
      </c>
      <c r="H168">
        <v>17500000</v>
      </c>
      <c r="I168">
        <v>17500000</v>
      </c>
      <c r="J168">
        <v>70</v>
      </c>
      <c r="K168" t="s">
        <v>32</v>
      </c>
      <c r="L168" t="s">
        <v>839</v>
      </c>
      <c r="M168" t="s">
        <v>66</v>
      </c>
      <c r="N168" s="1">
        <v>46356</v>
      </c>
    </row>
    <row r="169" spans="1:14" x14ac:dyDescent="0.45">
      <c r="A169" t="s">
        <v>682</v>
      </c>
      <c r="B169" t="s">
        <v>910</v>
      </c>
      <c r="C169" t="s">
        <v>911</v>
      </c>
      <c r="D169" t="s">
        <v>152</v>
      </c>
      <c r="E169">
        <v>1600000000</v>
      </c>
      <c r="F169">
        <v>1500000000</v>
      </c>
      <c r="G169">
        <v>100000000</v>
      </c>
      <c r="H169">
        <v>1120000000</v>
      </c>
      <c r="I169">
        <v>70000000</v>
      </c>
      <c r="J169">
        <v>70</v>
      </c>
      <c r="K169" t="s">
        <v>32</v>
      </c>
      <c r="L169" t="s">
        <v>839</v>
      </c>
      <c r="M169" t="s">
        <v>66</v>
      </c>
      <c r="N169" s="1">
        <v>46356</v>
      </c>
    </row>
    <row r="170" spans="1:14" x14ac:dyDescent="0.45">
      <c r="A170" t="s">
        <v>682</v>
      </c>
      <c r="B170" t="s">
        <v>995</v>
      </c>
      <c r="C170" t="s">
        <v>841</v>
      </c>
      <c r="D170" t="s">
        <v>152</v>
      </c>
      <c r="E170">
        <v>150000000</v>
      </c>
      <c r="F170">
        <v>0</v>
      </c>
      <c r="G170">
        <v>150000000</v>
      </c>
      <c r="H170">
        <v>105000000</v>
      </c>
      <c r="I170">
        <v>105000000</v>
      </c>
      <c r="J170">
        <v>70</v>
      </c>
      <c r="K170" t="s">
        <v>32</v>
      </c>
      <c r="L170" t="s">
        <v>839</v>
      </c>
      <c r="M170" t="s">
        <v>66</v>
      </c>
      <c r="N170" s="1">
        <v>46356</v>
      </c>
    </row>
    <row r="171" spans="1:14" x14ac:dyDescent="0.45">
      <c r="A171" t="s">
        <v>550</v>
      </c>
      <c r="B171" t="s">
        <v>880</v>
      </c>
      <c r="C171" t="s">
        <v>1036</v>
      </c>
      <c r="D171" t="s">
        <v>552</v>
      </c>
      <c r="E171">
        <v>380000000</v>
      </c>
      <c r="F171">
        <v>0</v>
      </c>
      <c r="G171">
        <v>380000000</v>
      </c>
      <c r="H171">
        <v>114000000</v>
      </c>
      <c r="I171">
        <v>114000000</v>
      </c>
      <c r="J171">
        <v>30</v>
      </c>
      <c r="K171" t="s">
        <v>32</v>
      </c>
      <c r="L171" t="s">
        <v>839</v>
      </c>
      <c r="M171" t="s">
        <v>66</v>
      </c>
      <c r="N171" s="1">
        <v>46173</v>
      </c>
    </row>
    <row r="172" spans="1:14" x14ac:dyDescent="0.45">
      <c r="A172" t="s">
        <v>534</v>
      </c>
      <c r="B172" t="s">
        <v>880</v>
      </c>
      <c r="C172" t="s">
        <v>1037</v>
      </c>
      <c r="D172" t="s">
        <v>536</v>
      </c>
      <c r="E172">
        <v>118350000</v>
      </c>
      <c r="F172">
        <v>0</v>
      </c>
      <c r="G172">
        <v>118350000</v>
      </c>
      <c r="H172">
        <v>59175000</v>
      </c>
      <c r="I172">
        <v>59175000</v>
      </c>
      <c r="J172">
        <v>50</v>
      </c>
      <c r="K172" t="s">
        <v>32</v>
      </c>
      <c r="L172" t="s">
        <v>839</v>
      </c>
      <c r="M172" t="s">
        <v>66</v>
      </c>
      <c r="N172" s="1">
        <v>46173</v>
      </c>
    </row>
    <row r="173" spans="1:14" x14ac:dyDescent="0.45">
      <c r="A173" t="s">
        <v>534</v>
      </c>
      <c r="B173" t="s">
        <v>855</v>
      </c>
      <c r="C173" t="s">
        <v>1038</v>
      </c>
      <c r="D173" t="s">
        <v>536</v>
      </c>
      <c r="E173">
        <v>180000000</v>
      </c>
      <c r="F173">
        <v>0</v>
      </c>
      <c r="G173">
        <v>180000000</v>
      </c>
      <c r="H173">
        <v>90000000</v>
      </c>
      <c r="I173">
        <v>90000000</v>
      </c>
      <c r="J173">
        <v>50</v>
      </c>
      <c r="K173" t="s">
        <v>32</v>
      </c>
      <c r="L173" t="s">
        <v>839</v>
      </c>
      <c r="M173" t="s">
        <v>66</v>
      </c>
      <c r="N173" s="1">
        <v>46173</v>
      </c>
    </row>
    <row r="174" spans="1:14" x14ac:dyDescent="0.45">
      <c r="A174" t="s">
        <v>539</v>
      </c>
      <c r="B174" t="s">
        <v>989</v>
      </c>
      <c r="C174" t="s">
        <v>1039</v>
      </c>
      <c r="D174" t="s">
        <v>486</v>
      </c>
      <c r="E174">
        <v>160000000</v>
      </c>
      <c r="F174">
        <v>130000000</v>
      </c>
      <c r="G174">
        <v>30000000</v>
      </c>
      <c r="H174">
        <v>112000000</v>
      </c>
      <c r="I174">
        <v>21000000</v>
      </c>
      <c r="J174">
        <v>70</v>
      </c>
      <c r="K174" t="s">
        <v>32</v>
      </c>
      <c r="L174" t="s">
        <v>839</v>
      </c>
      <c r="M174" t="s">
        <v>146</v>
      </c>
      <c r="N174" s="1">
        <v>46192</v>
      </c>
    </row>
    <row r="175" spans="1:14" x14ac:dyDescent="0.45">
      <c r="A175" t="s">
        <v>539</v>
      </c>
      <c r="B175" t="s">
        <v>992</v>
      </c>
      <c r="C175" t="s">
        <v>1040</v>
      </c>
      <c r="D175" t="s">
        <v>486</v>
      </c>
      <c r="E175">
        <v>65000000</v>
      </c>
      <c r="F175">
        <v>0</v>
      </c>
      <c r="G175">
        <v>65000000</v>
      </c>
      <c r="H175">
        <v>45500000</v>
      </c>
      <c r="I175">
        <v>45500000</v>
      </c>
      <c r="J175">
        <v>70</v>
      </c>
      <c r="K175" t="s">
        <v>32</v>
      </c>
      <c r="L175" t="s">
        <v>839</v>
      </c>
      <c r="M175" t="s">
        <v>146</v>
      </c>
      <c r="N175" s="1">
        <v>46192</v>
      </c>
    </row>
    <row r="176" spans="1:14" x14ac:dyDescent="0.45">
      <c r="A176" t="s">
        <v>771</v>
      </c>
      <c r="B176" t="s">
        <v>880</v>
      </c>
      <c r="C176" t="s">
        <v>880</v>
      </c>
      <c r="D176" t="s">
        <v>677</v>
      </c>
      <c r="E176">
        <v>165000000</v>
      </c>
      <c r="F176">
        <v>0</v>
      </c>
      <c r="G176">
        <v>165000000</v>
      </c>
      <c r="H176">
        <v>82500000</v>
      </c>
      <c r="I176">
        <v>82500000</v>
      </c>
      <c r="J176">
        <v>50</v>
      </c>
      <c r="K176" t="s">
        <v>32</v>
      </c>
      <c r="L176" t="s">
        <v>839</v>
      </c>
      <c r="M176" t="s">
        <v>51</v>
      </c>
      <c r="N176" s="1">
        <v>46173</v>
      </c>
    </row>
    <row r="177" spans="1:14" x14ac:dyDescent="0.45">
      <c r="A177" t="s">
        <v>548</v>
      </c>
      <c r="B177" t="s">
        <v>1041</v>
      </c>
      <c r="C177" t="s">
        <v>1042</v>
      </c>
      <c r="D177" t="s">
        <v>486</v>
      </c>
      <c r="E177">
        <v>245000000</v>
      </c>
      <c r="F177">
        <v>222500000</v>
      </c>
      <c r="G177">
        <v>22500000</v>
      </c>
      <c r="H177">
        <v>171500000</v>
      </c>
      <c r="I177">
        <v>15750000</v>
      </c>
      <c r="J177">
        <v>70</v>
      </c>
      <c r="K177" t="s">
        <v>32</v>
      </c>
      <c r="L177" t="s">
        <v>839</v>
      </c>
      <c r="M177" t="s">
        <v>146</v>
      </c>
      <c r="N177" s="1">
        <v>46374</v>
      </c>
    </row>
    <row r="178" spans="1:14" x14ac:dyDescent="0.45">
      <c r="A178" t="s">
        <v>548</v>
      </c>
      <c r="B178" t="s">
        <v>996</v>
      </c>
      <c r="C178" t="s">
        <v>1042</v>
      </c>
      <c r="D178" t="s">
        <v>486</v>
      </c>
      <c r="E178">
        <v>58000000</v>
      </c>
      <c r="F178">
        <v>0</v>
      </c>
      <c r="G178">
        <v>58000000</v>
      </c>
      <c r="H178">
        <v>40600000</v>
      </c>
      <c r="I178">
        <v>40600000</v>
      </c>
      <c r="J178">
        <v>70</v>
      </c>
      <c r="K178" t="s">
        <v>32</v>
      </c>
      <c r="L178" t="s">
        <v>839</v>
      </c>
      <c r="M178" t="s">
        <v>146</v>
      </c>
      <c r="N178" s="1">
        <v>46374</v>
      </c>
    </row>
    <row r="179" spans="1:14" x14ac:dyDescent="0.45">
      <c r="A179" t="s">
        <v>541</v>
      </c>
      <c r="B179" t="s">
        <v>1003</v>
      </c>
      <c r="C179" t="s">
        <v>1043</v>
      </c>
      <c r="D179" t="s">
        <v>503</v>
      </c>
      <c r="E179">
        <v>2682000000</v>
      </c>
      <c r="F179">
        <v>2530185660</v>
      </c>
      <c r="G179">
        <v>151814340</v>
      </c>
      <c r="H179">
        <v>1341000000</v>
      </c>
      <c r="I179">
        <v>75907170</v>
      </c>
      <c r="J179">
        <v>50</v>
      </c>
      <c r="K179" t="s">
        <v>32</v>
      </c>
      <c r="L179" t="s">
        <v>987</v>
      </c>
      <c r="M179" t="s">
        <v>42</v>
      </c>
      <c r="N179" s="1">
        <v>46311</v>
      </c>
    </row>
    <row r="180" spans="1:14" x14ac:dyDescent="0.45">
      <c r="A180" t="s">
        <v>543</v>
      </c>
      <c r="B180" t="s">
        <v>892</v>
      </c>
      <c r="C180" t="s">
        <v>894</v>
      </c>
      <c r="D180" t="s">
        <v>257</v>
      </c>
      <c r="E180">
        <v>588500000</v>
      </c>
      <c r="F180">
        <v>481000000</v>
      </c>
      <c r="G180">
        <v>107500000</v>
      </c>
      <c r="H180">
        <v>411950000</v>
      </c>
      <c r="I180">
        <v>75250000</v>
      </c>
      <c r="J180">
        <v>70</v>
      </c>
      <c r="K180" t="s">
        <v>32</v>
      </c>
      <c r="L180" t="s">
        <v>839</v>
      </c>
      <c r="M180" t="s">
        <v>146</v>
      </c>
      <c r="N180" s="1">
        <v>46290</v>
      </c>
    </row>
    <row r="181" spans="1:14" x14ac:dyDescent="0.45">
      <c r="A181" t="s">
        <v>543</v>
      </c>
      <c r="B181" t="s">
        <v>1044</v>
      </c>
      <c r="C181" t="s">
        <v>894</v>
      </c>
      <c r="D181" t="s">
        <v>257</v>
      </c>
      <c r="E181">
        <v>164000000</v>
      </c>
      <c r="F181">
        <v>0</v>
      </c>
      <c r="G181">
        <v>164000000</v>
      </c>
      <c r="H181">
        <v>114800000</v>
      </c>
      <c r="I181">
        <v>114800000</v>
      </c>
      <c r="J181">
        <v>70</v>
      </c>
      <c r="K181" t="s">
        <v>32</v>
      </c>
      <c r="L181" t="s">
        <v>839</v>
      </c>
      <c r="M181" t="s">
        <v>146</v>
      </c>
      <c r="N181" s="1">
        <v>46290</v>
      </c>
    </row>
    <row r="182" spans="1:14" x14ac:dyDescent="0.45">
      <c r="A182" t="s">
        <v>545</v>
      </c>
      <c r="B182" t="s">
        <v>1041</v>
      </c>
      <c r="C182" t="s">
        <v>1042</v>
      </c>
      <c r="D182" t="s">
        <v>547</v>
      </c>
      <c r="E182">
        <v>722000000</v>
      </c>
      <c r="F182">
        <v>650000000</v>
      </c>
      <c r="G182">
        <v>72000000</v>
      </c>
      <c r="H182">
        <v>505400000</v>
      </c>
      <c r="I182">
        <v>50400000</v>
      </c>
      <c r="J182">
        <v>70</v>
      </c>
      <c r="K182" t="s">
        <v>32</v>
      </c>
      <c r="L182" t="s">
        <v>839</v>
      </c>
      <c r="M182" t="s">
        <v>210</v>
      </c>
      <c r="N182" s="1">
        <v>46164</v>
      </c>
    </row>
    <row r="183" spans="1:14" x14ac:dyDescent="0.45">
      <c r="A183" t="s">
        <v>614</v>
      </c>
      <c r="B183" t="s">
        <v>910</v>
      </c>
      <c r="C183" t="s">
        <v>282</v>
      </c>
      <c r="D183" t="s">
        <v>161</v>
      </c>
      <c r="E183">
        <v>10200000</v>
      </c>
      <c r="F183">
        <v>9500000</v>
      </c>
      <c r="G183">
        <v>700000</v>
      </c>
      <c r="H183">
        <v>5100000</v>
      </c>
      <c r="I183">
        <v>350000</v>
      </c>
      <c r="J183">
        <v>50</v>
      </c>
      <c r="K183" t="s">
        <v>32</v>
      </c>
      <c r="L183" t="s">
        <v>839</v>
      </c>
      <c r="M183" t="s">
        <v>146</v>
      </c>
      <c r="N183" s="1">
        <v>46248</v>
      </c>
    </row>
    <row r="184" spans="1:14" x14ac:dyDescent="0.45">
      <c r="A184" t="s">
        <v>555</v>
      </c>
      <c r="B184" t="s">
        <v>880</v>
      </c>
      <c r="C184" t="s">
        <v>880</v>
      </c>
      <c r="D184" t="s">
        <v>557</v>
      </c>
      <c r="E184">
        <v>50000000</v>
      </c>
      <c r="F184">
        <v>0</v>
      </c>
      <c r="G184">
        <v>50000000</v>
      </c>
      <c r="H184">
        <v>25000000</v>
      </c>
      <c r="I184">
        <v>25000000</v>
      </c>
      <c r="J184">
        <v>50</v>
      </c>
      <c r="K184" t="s">
        <v>32</v>
      </c>
      <c r="L184" t="s">
        <v>839</v>
      </c>
      <c r="M184" t="s">
        <v>42</v>
      </c>
      <c r="N184" s="1">
        <v>46234</v>
      </c>
    </row>
    <row r="185" spans="1:14" x14ac:dyDescent="0.45">
      <c r="A185" t="s">
        <v>558</v>
      </c>
      <c r="B185" t="s">
        <v>880</v>
      </c>
      <c r="C185" t="s">
        <v>880</v>
      </c>
      <c r="D185" t="s">
        <v>559</v>
      </c>
      <c r="E185">
        <v>100000000</v>
      </c>
      <c r="F185">
        <v>0</v>
      </c>
      <c r="G185">
        <v>100000000</v>
      </c>
      <c r="H185">
        <v>50000000</v>
      </c>
      <c r="I185">
        <v>50000000</v>
      </c>
      <c r="J185">
        <v>50</v>
      </c>
      <c r="K185" t="s">
        <v>32</v>
      </c>
      <c r="L185" t="s">
        <v>839</v>
      </c>
      <c r="M185" t="s">
        <v>42</v>
      </c>
      <c r="N185" s="1">
        <v>46265</v>
      </c>
    </row>
    <row r="186" spans="1:14" x14ac:dyDescent="0.45">
      <c r="A186" t="s">
        <v>560</v>
      </c>
      <c r="B186" t="s">
        <v>561</v>
      </c>
      <c r="C186" t="s">
        <v>561</v>
      </c>
      <c r="D186" t="s">
        <v>562</v>
      </c>
      <c r="E186">
        <v>63000000</v>
      </c>
      <c r="F186">
        <v>0</v>
      </c>
      <c r="G186">
        <v>63000000</v>
      </c>
      <c r="H186">
        <v>31500000</v>
      </c>
      <c r="I186">
        <v>31500000</v>
      </c>
      <c r="J186">
        <v>50</v>
      </c>
      <c r="K186" t="s">
        <v>32</v>
      </c>
      <c r="L186" t="s">
        <v>839</v>
      </c>
      <c r="M186" t="s">
        <v>51</v>
      </c>
      <c r="N186" s="1">
        <v>46142</v>
      </c>
    </row>
    <row r="187" spans="1:14" x14ac:dyDescent="0.45">
      <c r="A187" t="s">
        <v>564</v>
      </c>
      <c r="B187" t="s">
        <v>855</v>
      </c>
      <c r="C187" t="s">
        <v>565</v>
      </c>
      <c r="D187" t="s">
        <v>473</v>
      </c>
      <c r="E187">
        <v>80000000</v>
      </c>
      <c r="F187">
        <v>0</v>
      </c>
      <c r="G187">
        <v>80000000</v>
      </c>
      <c r="H187">
        <v>40000000</v>
      </c>
      <c r="I187">
        <v>40000000</v>
      </c>
      <c r="J187">
        <v>50</v>
      </c>
      <c r="K187" t="s">
        <v>32</v>
      </c>
      <c r="L187" t="s">
        <v>839</v>
      </c>
      <c r="M187" t="s">
        <v>42</v>
      </c>
      <c r="N187" s="1">
        <v>46326</v>
      </c>
    </row>
    <row r="188" spans="1:14" x14ac:dyDescent="0.45">
      <c r="A188" t="s">
        <v>566</v>
      </c>
      <c r="B188" t="s">
        <v>880</v>
      </c>
      <c r="C188" t="s">
        <v>880</v>
      </c>
      <c r="D188" t="s">
        <v>482</v>
      </c>
      <c r="E188">
        <v>119000000</v>
      </c>
      <c r="F188">
        <v>0</v>
      </c>
      <c r="G188">
        <v>119000000</v>
      </c>
      <c r="H188">
        <v>59500000</v>
      </c>
      <c r="I188">
        <v>59500000</v>
      </c>
      <c r="J188">
        <v>50</v>
      </c>
      <c r="K188" t="s">
        <v>32</v>
      </c>
      <c r="L188" t="s">
        <v>839</v>
      </c>
      <c r="M188" t="s">
        <v>66</v>
      </c>
      <c r="N188" s="1">
        <v>46234</v>
      </c>
    </row>
    <row r="189" spans="1:14" x14ac:dyDescent="0.45">
      <c r="A189" t="s">
        <v>569</v>
      </c>
      <c r="B189" t="s">
        <v>1045</v>
      </c>
      <c r="C189" t="s">
        <v>1046</v>
      </c>
      <c r="D189" t="s">
        <v>423</v>
      </c>
      <c r="E189">
        <v>45000000</v>
      </c>
      <c r="F189">
        <v>40000000</v>
      </c>
      <c r="G189">
        <v>5000000</v>
      </c>
      <c r="H189">
        <v>22500000</v>
      </c>
      <c r="I189">
        <v>2500000</v>
      </c>
      <c r="J189">
        <v>50</v>
      </c>
      <c r="K189" t="s">
        <v>32</v>
      </c>
      <c r="L189" t="s">
        <v>839</v>
      </c>
      <c r="M189" t="s">
        <v>42</v>
      </c>
      <c r="N189" s="1">
        <v>46356</v>
      </c>
    </row>
    <row r="190" spans="1:14" x14ac:dyDescent="0.45">
      <c r="A190" t="s">
        <v>569</v>
      </c>
      <c r="B190" t="s">
        <v>855</v>
      </c>
      <c r="C190" t="s">
        <v>1047</v>
      </c>
      <c r="D190" t="s">
        <v>423</v>
      </c>
      <c r="E190">
        <v>70000000</v>
      </c>
      <c r="F190">
        <v>0</v>
      </c>
      <c r="G190">
        <v>70000000</v>
      </c>
      <c r="H190">
        <v>35000000</v>
      </c>
      <c r="I190">
        <v>35000000</v>
      </c>
      <c r="J190">
        <v>50</v>
      </c>
      <c r="K190" t="s">
        <v>32</v>
      </c>
      <c r="L190" t="s">
        <v>839</v>
      </c>
      <c r="M190" t="s">
        <v>42</v>
      </c>
      <c r="N190" s="1">
        <v>46356</v>
      </c>
    </row>
    <row r="191" spans="1:14" x14ac:dyDescent="0.45">
      <c r="A191" t="s">
        <v>575</v>
      </c>
      <c r="B191" t="s">
        <v>848</v>
      </c>
      <c r="C191" t="s">
        <v>1048</v>
      </c>
      <c r="D191" t="s">
        <v>41</v>
      </c>
      <c r="E191">
        <v>150000000</v>
      </c>
      <c r="F191">
        <v>0</v>
      </c>
      <c r="G191">
        <v>150000000</v>
      </c>
      <c r="H191">
        <v>60000000</v>
      </c>
      <c r="I191">
        <v>60000000</v>
      </c>
      <c r="J191">
        <v>40</v>
      </c>
      <c r="K191" t="s">
        <v>32</v>
      </c>
      <c r="L191" t="s">
        <v>987</v>
      </c>
      <c r="M191" t="s">
        <v>42</v>
      </c>
      <c r="N191" s="1">
        <v>46295</v>
      </c>
    </row>
    <row r="192" spans="1:14" x14ac:dyDescent="0.45">
      <c r="A192" t="s">
        <v>577</v>
      </c>
      <c r="B192" t="s">
        <v>880</v>
      </c>
      <c r="C192" t="s">
        <v>1049</v>
      </c>
      <c r="D192" t="s">
        <v>579</v>
      </c>
      <c r="E192">
        <v>40000000</v>
      </c>
      <c r="F192">
        <v>0</v>
      </c>
      <c r="G192">
        <v>40000000</v>
      </c>
      <c r="H192">
        <v>20000000</v>
      </c>
      <c r="I192">
        <v>20000000</v>
      </c>
      <c r="J192">
        <v>50</v>
      </c>
      <c r="K192" t="s">
        <v>32</v>
      </c>
      <c r="L192" t="s">
        <v>839</v>
      </c>
      <c r="M192" t="s">
        <v>42</v>
      </c>
      <c r="N192" s="1">
        <v>46326</v>
      </c>
    </row>
    <row r="193" spans="1:14" x14ac:dyDescent="0.45">
      <c r="A193" t="s">
        <v>577</v>
      </c>
      <c r="B193" t="s">
        <v>855</v>
      </c>
      <c r="C193" t="s">
        <v>1050</v>
      </c>
      <c r="D193" t="s">
        <v>579</v>
      </c>
      <c r="E193">
        <v>80000000</v>
      </c>
      <c r="F193">
        <v>0</v>
      </c>
      <c r="G193">
        <v>80000000</v>
      </c>
      <c r="H193">
        <v>40000000</v>
      </c>
      <c r="I193">
        <v>40000000</v>
      </c>
      <c r="J193">
        <v>50</v>
      </c>
      <c r="K193" t="s">
        <v>32</v>
      </c>
      <c r="L193" t="s">
        <v>839</v>
      </c>
      <c r="M193" t="s">
        <v>42</v>
      </c>
      <c r="N193" s="1">
        <v>46326</v>
      </c>
    </row>
    <row r="194" spans="1:14" x14ac:dyDescent="0.45">
      <c r="A194" t="s">
        <v>580</v>
      </c>
      <c r="B194" t="s">
        <v>1051</v>
      </c>
      <c r="C194" t="s">
        <v>581</v>
      </c>
      <c r="D194" t="s">
        <v>579</v>
      </c>
      <c r="E194">
        <v>50000000</v>
      </c>
      <c r="F194">
        <v>0</v>
      </c>
      <c r="G194">
        <v>50000000</v>
      </c>
      <c r="H194">
        <v>25000000</v>
      </c>
      <c r="I194">
        <v>25000000</v>
      </c>
      <c r="J194">
        <v>50</v>
      </c>
      <c r="K194" t="s">
        <v>32</v>
      </c>
      <c r="L194" t="s">
        <v>839</v>
      </c>
      <c r="M194" t="s">
        <v>42</v>
      </c>
      <c r="N194" s="1">
        <v>46295</v>
      </c>
    </row>
    <row r="195" spans="1:14" x14ac:dyDescent="0.45">
      <c r="A195" t="s">
        <v>582</v>
      </c>
      <c r="B195" t="s">
        <v>1052</v>
      </c>
      <c r="C195" t="s">
        <v>1052</v>
      </c>
      <c r="D195" t="s">
        <v>124</v>
      </c>
      <c r="E195">
        <v>60000000</v>
      </c>
      <c r="F195">
        <v>0</v>
      </c>
      <c r="G195">
        <v>60000000</v>
      </c>
      <c r="H195">
        <v>18000000</v>
      </c>
      <c r="I195">
        <v>18000000</v>
      </c>
      <c r="J195">
        <v>30</v>
      </c>
      <c r="K195" t="s">
        <v>32</v>
      </c>
      <c r="L195" t="s">
        <v>839</v>
      </c>
      <c r="M195" t="s">
        <v>42</v>
      </c>
      <c r="N195" s="1">
        <v>46290</v>
      </c>
    </row>
    <row r="196" spans="1:14" x14ac:dyDescent="0.45">
      <c r="A196" t="s">
        <v>585</v>
      </c>
      <c r="B196" t="s">
        <v>1032</v>
      </c>
      <c r="C196" t="s">
        <v>1053</v>
      </c>
      <c r="D196" t="s">
        <v>529</v>
      </c>
      <c r="E196">
        <v>70000000</v>
      </c>
      <c r="F196">
        <v>50000000</v>
      </c>
      <c r="G196">
        <v>20000000</v>
      </c>
      <c r="H196">
        <v>21000000</v>
      </c>
      <c r="I196">
        <v>6000000</v>
      </c>
      <c r="J196">
        <v>30</v>
      </c>
      <c r="K196" t="s">
        <v>32</v>
      </c>
      <c r="L196" t="s">
        <v>839</v>
      </c>
      <c r="M196" t="s">
        <v>66</v>
      </c>
      <c r="N196" s="1">
        <v>46203</v>
      </c>
    </row>
    <row r="197" spans="1:14" x14ac:dyDescent="0.45">
      <c r="A197" t="s">
        <v>587</v>
      </c>
      <c r="B197" t="s">
        <v>880</v>
      </c>
      <c r="C197" t="s">
        <v>1054</v>
      </c>
      <c r="D197" t="s">
        <v>589</v>
      </c>
      <c r="E197">
        <v>100000000</v>
      </c>
      <c r="F197">
        <v>0</v>
      </c>
      <c r="G197">
        <v>100000000</v>
      </c>
      <c r="H197">
        <v>30000000</v>
      </c>
      <c r="I197">
        <v>30000000</v>
      </c>
      <c r="J197">
        <v>30</v>
      </c>
      <c r="K197" t="s">
        <v>32</v>
      </c>
      <c r="L197" t="s">
        <v>839</v>
      </c>
      <c r="M197" t="s">
        <v>42</v>
      </c>
      <c r="N197" s="1">
        <v>46300</v>
      </c>
    </row>
    <row r="198" spans="1:14" x14ac:dyDescent="0.45">
      <c r="A198" t="s">
        <v>590</v>
      </c>
      <c r="B198" t="s">
        <v>855</v>
      </c>
      <c r="C198" t="s">
        <v>1055</v>
      </c>
      <c r="D198" t="s">
        <v>498</v>
      </c>
      <c r="E198">
        <v>132500000</v>
      </c>
      <c r="F198">
        <v>0</v>
      </c>
      <c r="G198">
        <v>132500000</v>
      </c>
      <c r="H198">
        <v>66250000</v>
      </c>
      <c r="I198">
        <v>66250000</v>
      </c>
      <c r="J198">
        <v>50</v>
      </c>
      <c r="K198" t="s">
        <v>32</v>
      </c>
      <c r="L198" t="s">
        <v>839</v>
      </c>
      <c r="M198" t="s">
        <v>66</v>
      </c>
      <c r="N198" s="1">
        <v>46219</v>
      </c>
    </row>
    <row r="199" spans="1:14" x14ac:dyDescent="0.45">
      <c r="A199" t="s">
        <v>597</v>
      </c>
      <c r="B199" t="s">
        <v>890</v>
      </c>
      <c r="C199" t="s">
        <v>1056</v>
      </c>
      <c r="D199" t="s">
        <v>457</v>
      </c>
      <c r="E199">
        <v>1040000000</v>
      </c>
      <c r="F199">
        <v>884000000</v>
      </c>
      <c r="G199">
        <v>156000000</v>
      </c>
      <c r="H199">
        <v>520000000</v>
      </c>
      <c r="I199">
        <v>78000000</v>
      </c>
      <c r="J199">
        <v>50</v>
      </c>
      <c r="K199" t="s">
        <v>32</v>
      </c>
      <c r="L199" t="s">
        <v>839</v>
      </c>
      <c r="M199" t="s">
        <v>51</v>
      </c>
      <c r="N199" s="1">
        <v>46241</v>
      </c>
    </row>
    <row r="200" spans="1:14" x14ac:dyDescent="0.45">
      <c r="A200" t="s">
        <v>597</v>
      </c>
      <c r="B200" t="s">
        <v>1057</v>
      </c>
      <c r="C200" t="s">
        <v>1058</v>
      </c>
      <c r="D200" t="s">
        <v>457</v>
      </c>
      <c r="E200">
        <v>617000000</v>
      </c>
      <c r="F200">
        <v>525000000</v>
      </c>
      <c r="G200">
        <v>92000000</v>
      </c>
      <c r="H200">
        <v>308500000</v>
      </c>
      <c r="I200">
        <v>46000000</v>
      </c>
      <c r="J200">
        <v>50</v>
      </c>
      <c r="K200" t="s">
        <v>32</v>
      </c>
      <c r="L200" t="s">
        <v>839</v>
      </c>
      <c r="M200" t="s">
        <v>51</v>
      </c>
      <c r="N200" s="1">
        <v>46241</v>
      </c>
    </row>
    <row r="201" spans="1:14" x14ac:dyDescent="0.45">
      <c r="A201" t="s">
        <v>592</v>
      </c>
      <c r="B201" t="s">
        <v>1045</v>
      </c>
      <c r="C201" t="s">
        <v>1059</v>
      </c>
      <c r="D201" t="s">
        <v>594</v>
      </c>
      <c r="E201">
        <v>25000000</v>
      </c>
      <c r="F201">
        <v>23000000</v>
      </c>
      <c r="G201">
        <v>2000000</v>
      </c>
      <c r="H201">
        <v>17500000</v>
      </c>
      <c r="I201">
        <v>1400000</v>
      </c>
      <c r="J201">
        <v>70</v>
      </c>
      <c r="K201" t="s">
        <v>32</v>
      </c>
      <c r="L201" t="s">
        <v>839</v>
      </c>
      <c r="M201" t="s">
        <v>42</v>
      </c>
      <c r="N201" s="1">
        <v>46446</v>
      </c>
    </row>
    <row r="202" spans="1:14" x14ac:dyDescent="0.45">
      <c r="A202" t="s">
        <v>592</v>
      </c>
      <c r="B202" t="s">
        <v>855</v>
      </c>
      <c r="C202" t="s">
        <v>1060</v>
      </c>
      <c r="D202" t="s">
        <v>594</v>
      </c>
      <c r="E202">
        <v>30000000</v>
      </c>
      <c r="F202">
        <v>0</v>
      </c>
      <c r="G202">
        <v>30000000</v>
      </c>
      <c r="H202">
        <v>21000000</v>
      </c>
      <c r="I202">
        <v>21000000</v>
      </c>
      <c r="J202">
        <v>70</v>
      </c>
      <c r="K202" t="s">
        <v>32</v>
      </c>
      <c r="L202" t="s">
        <v>839</v>
      </c>
      <c r="M202" t="s">
        <v>42</v>
      </c>
      <c r="N202" s="1">
        <v>46446</v>
      </c>
    </row>
    <row r="203" spans="1:14" x14ac:dyDescent="0.45">
      <c r="A203" t="s">
        <v>609</v>
      </c>
      <c r="B203" t="s">
        <v>1061</v>
      </c>
      <c r="C203" t="s">
        <v>1062</v>
      </c>
      <c r="D203" t="s">
        <v>552</v>
      </c>
      <c r="E203">
        <v>120000000</v>
      </c>
      <c r="F203">
        <v>0</v>
      </c>
      <c r="G203">
        <v>120000000</v>
      </c>
      <c r="H203">
        <v>36000000</v>
      </c>
      <c r="I203">
        <v>36000000</v>
      </c>
      <c r="J203">
        <v>30</v>
      </c>
      <c r="K203" t="s">
        <v>32</v>
      </c>
      <c r="L203" t="s">
        <v>839</v>
      </c>
      <c r="M203" t="s">
        <v>42</v>
      </c>
      <c r="N203" s="1">
        <v>46387</v>
      </c>
    </row>
    <row r="204" spans="1:14" x14ac:dyDescent="0.45">
      <c r="A204" t="s">
        <v>797</v>
      </c>
      <c r="B204" t="s">
        <v>1041</v>
      </c>
      <c r="C204" t="s">
        <v>1063</v>
      </c>
      <c r="D204" t="s">
        <v>671</v>
      </c>
      <c r="E204">
        <v>450000000</v>
      </c>
      <c r="F204">
        <v>366275000</v>
      </c>
      <c r="G204">
        <v>83725000</v>
      </c>
      <c r="H204">
        <v>180000000</v>
      </c>
      <c r="I204">
        <v>33490000</v>
      </c>
      <c r="J204">
        <v>40</v>
      </c>
      <c r="K204" t="s">
        <v>32</v>
      </c>
      <c r="L204" t="s">
        <v>839</v>
      </c>
      <c r="M204" t="s">
        <v>146</v>
      </c>
      <c r="N204" s="1">
        <v>46183</v>
      </c>
    </row>
    <row r="205" spans="1:14" x14ac:dyDescent="0.45">
      <c r="A205" t="s">
        <v>611</v>
      </c>
      <c r="B205" t="s">
        <v>1003</v>
      </c>
      <c r="C205" t="s">
        <v>1003</v>
      </c>
      <c r="D205" t="s">
        <v>41</v>
      </c>
      <c r="E205">
        <v>1250600000</v>
      </c>
      <c r="F205">
        <v>74000</v>
      </c>
      <c r="G205">
        <v>0</v>
      </c>
      <c r="H205">
        <v>375180000</v>
      </c>
      <c r="I205">
        <v>0</v>
      </c>
      <c r="J205">
        <v>30</v>
      </c>
      <c r="K205" t="s">
        <v>32</v>
      </c>
      <c r="L205" t="s">
        <v>987</v>
      </c>
      <c r="M205" t="s">
        <v>42</v>
      </c>
      <c r="N205" s="1">
        <v>46356</v>
      </c>
    </row>
    <row r="206" spans="1:14" x14ac:dyDescent="0.45">
      <c r="A206" t="s">
        <v>611</v>
      </c>
      <c r="B206" t="s">
        <v>985</v>
      </c>
      <c r="C206" t="s">
        <v>1064</v>
      </c>
      <c r="D206" t="s">
        <v>41</v>
      </c>
      <c r="E206">
        <v>350000000</v>
      </c>
      <c r="F206">
        <v>0</v>
      </c>
      <c r="G206">
        <v>350000000</v>
      </c>
      <c r="H206">
        <v>105000000</v>
      </c>
      <c r="I206">
        <v>105000000</v>
      </c>
      <c r="J206">
        <v>30</v>
      </c>
      <c r="K206" t="s">
        <v>32</v>
      </c>
      <c r="L206" t="s">
        <v>987</v>
      </c>
      <c r="M206" t="s">
        <v>42</v>
      </c>
      <c r="N206" s="1">
        <v>46356</v>
      </c>
    </row>
    <row r="207" spans="1:14" x14ac:dyDescent="0.45">
      <c r="A207" t="s">
        <v>618</v>
      </c>
      <c r="B207" t="s">
        <v>1016</v>
      </c>
      <c r="C207" t="s">
        <v>1065</v>
      </c>
      <c r="D207" t="s">
        <v>620</v>
      </c>
      <c r="E207">
        <v>325000000</v>
      </c>
      <c r="F207">
        <v>290000000</v>
      </c>
      <c r="G207">
        <v>35000000</v>
      </c>
      <c r="H207">
        <v>325000000</v>
      </c>
      <c r="I207">
        <v>35000000</v>
      </c>
      <c r="J207">
        <v>100</v>
      </c>
      <c r="K207" t="s">
        <v>32</v>
      </c>
      <c r="L207" t="s">
        <v>839</v>
      </c>
      <c r="M207" t="s">
        <v>210</v>
      </c>
      <c r="N207" s="1">
        <v>46143</v>
      </c>
    </row>
    <row r="208" spans="1:14" x14ac:dyDescent="0.45">
      <c r="A208" t="s">
        <v>618</v>
      </c>
      <c r="B208" t="s">
        <v>880</v>
      </c>
      <c r="C208" t="s">
        <v>1066</v>
      </c>
      <c r="D208" t="s">
        <v>620</v>
      </c>
      <c r="E208">
        <v>55000000</v>
      </c>
      <c r="F208">
        <v>0</v>
      </c>
      <c r="G208">
        <v>55000000</v>
      </c>
      <c r="H208">
        <v>55000000</v>
      </c>
      <c r="I208">
        <v>55000000</v>
      </c>
      <c r="J208">
        <v>100</v>
      </c>
      <c r="K208" t="s">
        <v>32</v>
      </c>
      <c r="L208" t="s">
        <v>839</v>
      </c>
      <c r="M208" t="s">
        <v>210</v>
      </c>
      <c r="N208" s="1">
        <v>46143</v>
      </c>
    </row>
    <row r="209" spans="1:14" x14ac:dyDescent="0.45">
      <c r="A209" t="s">
        <v>621</v>
      </c>
      <c r="B209" t="s">
        <v>838</v>
      </c>
      <c r="C209" t="s">
        <v>1067</v>
      </c>
      <c r="D209" t="s">
        <v>620</v>
      </c>
      <c r="E209">
        <v>200000000</v>
      </c>
      <c r="F209">
        <v>185000000</v>
      </c>
      <c r="G209">
        <v>15000000</v>
      </c>
      <c r="H209">
        <v>200000000</v>
      </c>
      <c r="I209">
        <v>15000000</v>
      </c>
      <c r="J209">
        <v>100</v>
      </c>
      <c r="K209" t="s">
        <v>32</v>
      </c>
      <c r="L209" t="s">
        <v>839</v>
      </c>
      <c r="M209" t="s">
        <v>66</v>
      </c>
      <c r="N209" s="1">
        <v>46237</v>
      </c>
    </row>
    <row r="210" spans="1:14" x14ac:dyDescent="0.45">
      <c r="A210" t="s">
        <v>621</v>
      </c>
      <c r="B210" t="s">
        <v>1068</v>
      </c>
      <c r="C210" t="s">
        <v>1069</v>
      </c>
      <c r="D210" t="s">
        <v>620</v>
      </c>
      <c r="E210">
        <v>65000000</v>
      </c>
      <c r="F210">
        <v>0</v>
      </c>
      <c r="G210">
        <v>65000000</v>
      </c>
      <c r="H210">
        <v>65000000</v>
      </c>
      <c r="I210">
        <v>65000000</v>
      </c>
      <c r="J210">
        <v>100</v>
      </c>
      <c r="K210" t="s">
        <v>32</v>
      </c>
      <c r="L210" t="s">
        <v>839</v>
      </c>
      <c r="M210" t="s">
        <v>66</v>
      </c>
      <c r="N210" s="1">
        <v>46237</v>
      </c>
    </row>
    <row r="211" spans="1:14" x14ac:dyDescent="0.45">
      <c r="A211" t="s">
        <v>623</v>
      </c>
      <c r="B211" t="s">
        <v>880</v>
      </c>
      <c r="C211" t="s">
        <v>880</v>
      </c>
      <c r="D211" t="s">
        <v>620</v>
      </c>
      <c r="E211">
        <v>150000000</v>
      </c>
      <c r="F211">
        <v>0</v>
      </c>
      <c r="G211">
        <v>150000000</v>
      </c>
      <c r="H211">
        <v>150000000</v>
      </c>
      <c r="I211">
        <v>150000000</v>
      </c>
      <c r="J211">
        <v>100</v>
      </c>
      <c r="K211" t="s">
        <v>32</v>
      </c>
      <c r="L211" t="s">
        <v>839</v>
      </c>
      <c r="M211" t="s">
        <v>66</v>
      </c>
      <c r="N211" s="1">
        <v>46353</v>
      </c>
    </row>
    <row r="212" spans="1:14" x14ac:dyDescent="0.45">
      <c r="A212" t="s">
        <v>626</v>
      </c>
      <c r="B212" t="s">
        <v>998</v>
      </c>
      <c r="C212" t="s">
        <v>1070</v>
      </c>
      <c r="D212" t="s">
        <v>628</v>
      </c>
      <c r="E212">
        <v>4500</v>
      </c>
      <c r="F212">
        <v>0</v>
      </c>
      <c r="G212">
        <v>4500</v>
      </c>
      <c r="H212">
        <v>4500</v>
      </c>
      <c r="I212">
        <v>4500</v>
      </c>
      <c r="J212">
        <v>100</v>
      </c>
      <c r="K212" t="s">
        <v>32</v>
      </c>
      <c r="L212" t="s">
        <v>839</v>
      </c>
      <c r="M212" t="s">
        <v>42</v>
      </c>
      <c r="N212" s="1">
        <v>46352</v>
      </c>
    </row>
    <row r="213" spans="1:14" x14ac:dyDescent="0.45">
      <c r="A213" t="s">
        <v>629</v>
      </c>
      <c r="B213" t="s">
        <v>1071</v>
      </c>
      <c r="C213" t="s">
        <v>1072</v>
      </c>
      <c r="D213" t="s">
        <v>457</v>
      </c>
      <c r="E213">
        <v>1000000000</v>
      </c>
      <c r="F213">
        <v>900000000</v>
      </c>
      <c r="G213">
        <v>100000000</v>
      </c>
      <c r="H213">
        <v>500000000</v>
      </c>
      <c r="I213">
        <v>50000000</v>
      </c>
      <c r="J213">
        <v>50</v>
      </c>
      <c r="K213" t="s">
        <v>32</v>
      </c>
      <c r="L213" t="s">
        <v>839</v>
      </c>
      <c r="M213" t="s">
        <v>146</v>
      </c>
      <c r="N213" s="1">
        <v>46247</v>
      </c>
    </row>
    <row r="214" spans="1:14" x14ac:dyDescent="0.45">
      <c r="A214" t="s">
        <v>631</v>
      </c>
      <c r="B214" t="s">
        <v>1073</v>
      </c>
      <c r="C214" t="s">
        <v>1074</v>
      </c>
      <c r="D214" t="s">
        <v>547</v>
      </c>
      <c r="E214">
        <v>300000000</v>
      </c>
      <c r="F214">
        <v>250000000</v>
      </c>
      <c r="G214">
        <v>50000000</v>
      </c>
      <c r="H214">
        <v>150000000</v>
      </c>
      <c r="I214">
        <v>25000000</v>
      </c>
      <c r="J214">
        <v>50</v>
      </c>
      <c r="K214" t="s">
        <v>32</v>
      </c>
      <c r="L214" t="s">
        <v>839</v>
      </c>
      <c r="M214" t="s">
        <v>146</v>
      </c>
      <c r="N214" s="1">
        <v>46142</v>
      </c>
    </row>
    <row r="215" spans="1:14" x14ac:dyDescent="0.45">
      <c r="A215" t="s">
        <v>633</v>
      </c>
      <c r="B215" t="s">
        <v>880</v>
      </c>
      <c r="C215" t="s">
        <v>880</v>
      </c>
      <c r="D215" t="s">
        <v>635</v>
      </c>
      <c r="E215">
        <v>30000000</v>
      </c>
      <c r="F215">
        <v>0</v>
      </c>
      <c r="G215">
        <v>30000000</v>
      </c>
      <c r="H215">
        <v>9000000</v>
      </c>
      <c r="I215">
        <v>9000000</v>
      </c>
      <c r="J215">
        <v>30</v>
      </c>
      <c r="K215" t="s">
        <v>32</v>
      </c>
      <c r="L215" t="s">
        <v>839</v>
      </c>
      <c r="M215" t="s">
        <v>146</v>
      </c>
      <c r="N215" s="1">
        <v>46213</v>
      </c>
    </row>
    <row r="216" spans="1:14" x14ac:dyDescent="0.45">
      <c r="A216" t="s">
        <v>637</v>
      </c>
      <c r="B216" t="s">
        <v>880</v>
      </c>
      <c r="C216" t="s">
        <v>880</v>
      </c>
      <c r="D216" t="s">
        <v>635</v>
      </c>
      <c r="E216">
        <v>30000000</v>
      </c>
      <c r="F216">
        <v>0</v>
      </c>
      <c r="G216">
        <v>30000000</v>
      </c>
      <c r="H216">
        <v>9000000</v>
      </c>
      <c r="I216">
        <v>9000000</v>
      </c>
      <c r="J216">
        <v>30</v>
      </c>
      <c r="K216" t="s">
        <v>32</v>
      </c>
      <c r="L216" t="s">
        <v>839</v>
      </c>
      <c r="M216" t="s">
        <v>146</v>
      </c>
      <c r="N216" s="1">
        <v>46237</v>
      </c>
    </row>
    <row r="217" spans="1:14" x14ac:dyDescent="0.45">
      <c r="A217" t="s">
        <v>739</v>
      </c>
      <c r="B217" t="s">
        <v>1075</v>
      </c>
      <c r="C217" t="s">
        <v>1076</v>
      </c>
      <c r="D217" t="s">
        <v>594</v>
      </c>
      <c r="E217">
        <v>120000000</v>
      </c>
      <c r="F217">
        <v>0</v>
      </c>
      <c r="G217">
        <v>120000000</v>
      </c>
      <c r="H217">
        <v>84000000</v>
      </c>
      <c r="I217">
        <v>84000000</v>
      </c>
      <c r="J217">
        <v>70</v>
      </c>
      <c r="K217" t="s">
        <v>32</v>
      </c>
      <c r="L217" t="s">
        <v>839</v>
      </c>
      <c r="M217" t="s">
        <v>51</v>
      </c>
      <c r="N217" s="1">
        <v>46173</v>
      </c>
    </row>
    <row r="218" spans="1:14" x14ac:dyDescent="0.45">
      <c r="A218" t="s">
        <v>638</v>
      </c>
      <c r="B218" t="s">
        <v>1025</v>
      </c>
      <c r="C218" t="s">
        <v>1077</v>
      </c>
      <c r="D218" t="s">
        <v>152</v>
      </c>
      <c r="E218">
        <v>7800000000</v>
      </c>
      <c r="F218">
        <v>450000</v>
      </c>
      <c r="G218">
        <v>150000000</v>
      </c>
      <c r="H218">
        <v>3900000000</v>
      </c>
      <c r="I218">
        <v>75000000</v>
      </c>
      <c r="J218">
        <v>50</v>
      </c>
      <c r="K218" t="s">
        <v>32</v>
      </c>
      <c r="L218" t="s">
        <v>987</v>
      </c>
      <c r="M218" t="s">
        <v>146</v>
      </c>
      <c r="N218" s="1">
        <v>46356</v>
      </c>
    </row>
    <row r="219" spans="1:14" x14ac:dyDescent="0.45">
      <c r="A219" t="s">
        <v>641</v>
      </c>
      <c r="B219" t="s">
        <v>838</v>
      </c>
      <c r="C219" t="s">
        <v>1078</v>
      </c>
      <c r="D219" t="s">
        <v>643</v>
      </c>
      <c r="E219">
        <v>50000000</v>
      </c>
      <c r="F219">
        <v>20000000</v>
      </c>
      <c r="G219">
        <v>30000000</v>
      </c>
      <c r="H219">
        <v>15000000</v>
      </c>
      <c r="I219">
        <v>9000000</v>
      </c>
      <c r="J219">
        <v>30</v>
      </c>
      <c r="K219" t="s">
        <v>32</v>
      </c>
      <c r="L219" t="s">
        <v>839</v>
      </c>
      <c r="M219" t="s">
        <v>42</v>
      </c>
      <c r="N219" s="1">
        <v>46356</v>
      </c>
    </row>
    <row r="220" spans="1:14" x14ac:dyDescent="0.45">
      <c r="A220" t="s">
        <v>647</v>
      </c>
      <c r="B220" t="s">
        <v>1079</v>
      </c>
      <c r="C220" t="s">
        <v>1080</v>
      </c>
      <c r="D220" t="s">
        <v>649</v>
      </c>
      <c r="E220">
        <v>100000000</v>
      </c>
      <c r="F220">
        <v>50000000</v>
      </c>
      <c r="G220">
        <v>50000000</v>
      </c>
      <c r="H220">
        <v>40000000</v>
      </c>
      <c r="I220">
        <v>20000000</v>
      </c>
      <c r="J220">
        <v>40</v>
      </c>
      <c r="K220" t="s">
        <v>32</v>
      </c>
      <c r="L220" t="s">
        <v>839</v>
      </c>
      <c r="M220" t="s">
        <v>42</v>
      </c>
      <c r="N220" s="1">
        <v>46356</v>
      </c>
    </row>
    <row r="221" spans="1:14" x14ac:dyDescent="0.45">
      <c r="A221" t="s">
        <v>650</v>
      </c>
      <c r="B221" t="s">
        <v>880</v>
      </c>
      <c r="C221" t="s">
        <v>880</v>
      </c>
      <c r="D221" t="s">
        <v>635</v>
      </c>
      <c r="E221">
        <v>30000000</v>
      </c>
      <c r="F221">
        <v>0</v>
      </c>
      <c r="G221">
        <v>30000000</v>
      </c>
      <c r="H221">
        <v>9000000</v>
      </c>
      <c r="I221">
        <v>9000000</v>
      </c>
      <c r="J221">
        <v>30</v>
      </c>
      <c r="K221" t="s">
        <v>32</v>
      </c>
      <c r="L221" t="s">
        <v>839</v>
      </c>
      <c r="M221" t="s">
        <v>146</v>
      </c>
      <c r="N221" s="1">
        <v>46272</v>
      </c>
    </row>
    <row r="222" spans="1:14" x14ac:dyDescent="0.45">
      <c r="A222" t="s">
        <v>651</v>
      </c>
      <c r="B222" t="s">
        <v>880</v>
      </c>
      <c r="C222" t="s">
        <v>880</v>
      </c>
      <c r="D222" t="s">
        <v>635</v>
      </c>
      <c r="E222">
        <v>30000000</v>
      </c>
      <c r="F222">
        <v>0</v>
      </c>
      <c r="G222">
        <v>30000000</v>
      </c>
      <c r="H222">
        <v>9000000</v>
      </c>
      <c r="I222">
        <v>9000000</v>
      </c>
      <c r="J222">
        <v>30</v>
      </c>
      <c r="K222" t="s">
        <v>32</v>
      </c>
      <c r="L222" t="s">
        <v>839</v>
      </c>
      <c r="M222" t="s">
        <v>146</v>
      </c>
      <c r="N222" s="1">
        <v>46300</v>
      </c>
    </row>
    <row r="223" spans="1:14" x14ac:dyDescent="0.45">
      <c r="A223" t="s">
        <v>652</v>
      </c>
      <c r="B223" t="s">
        <v>1003</v>
      </c>
      <c r="C223" t="s">
        <v>1081</v>
      </c>
      <c r="D223" t="s">
        <v>654</v>
      </c>
      <c r="E223">
        <v>30000000</v>
      </c>
      <c r="F223">
        <v>20000000</v>
      </c>
      <c r="G223">
        <v>10000000</v>
      </c>
      <c r="H223">
        <v>15000000</v>
      </c>
      <c r="I223">
        <v>5000000</v>
      </c>
      <c r="J223">
        <v>50</v>
      </c>
      <c r="K223" t="s">
        <v>32</v>
      </c>
      <c r="L223" t="s">
        <v>987</v>
      </c>
      <c r="M223" t="s">
        <v>42</v>
      </c>
      <c r="N223" s="1">
        <v>46295</v>
      </c>
    </row>
    <row r="224" spans="1:14" x14ac:dyDescent="0.45">
      <c r="A224" t="s">
        <v>657</v>
      </c>
      <c r="B224" t="s">
        <v>880</v>
      </c>
      <c r="C224" t="s">
        <v>1082</v>
      </c>
      <c r="D224" t="s">
        <v>659</v>
      </c>
      <c r="E224">
        <v>52500000</v>
      </c>
      <c r="F224">
        <v>21000000</v>
      </c>
      <c r="G224">
        <v>31500000</v>
      </c>
      <c r="H224">
        <v>26250000</v>
      </c>
      <c r="I224">
        <v>15750000</v>
      </c>
      <c r="J224">
        <v>50</v>
      </c>
      <c r="K224" t="s">
        <v>32</v>
      </c>
      <c r="L224" t="s">
        <v>839</v>
      </c>
      <c r="M224" t="s">
        <v>210</v>
      </c>
      <c r="N224" s="1">
        <v>46173</v>
      </c>
    </row>
    <row r="225" spans="1:14" x14ac:dyDescent="0.45">
      <c r="A225" t="s">
        <v>664</v>
      </c>
      <c r="B225" t="s">
        <v>1003</v>
      </c>
      <c r="C225" t="s">
        <v>1083</v>
      </c>
      <c r="D225" t="s">
        <v>666</v>
      </c>
      <c r="E225">
        <v>5000000000</v>
      </c>
      <c r="F225">
        <v>250000</v>
      </c>
      <c r="G225">
        <v>725000000</v>
      </c>
      <c r="H225">
        <v>2500000000</v>
      </c>
      <c r="I225">
        <v>362500000</v>
      </c>
      <c r="J225">
        <v>50</v>
      </c>
      <c r="K225" t="s">
        <v>32</v>
      </c>
      <c r="L225" t="s">
        <v>987</v>
      </c>
      <c r="M225" t="s">
        <v>51</v>
      </c>
      <c r="N225" s="1">
        <v>46234</v>
      </c>
    </row>
    <row r="226" spans="1:14" x14ac:dyDescent="0.45">
      <c r="A226" t="s">
        <v>661</v>
      </c>
      <c r="B226" t="s">
        <v>838</v>
      </c>
      <c r="C226" t="s">
        <v>1084</v>
      </c>
      <c r="D226" t="s">
        <v>663</v>
      </c>
      <c r="E226">
        <v>650000000</v>
      </c>
      <c r="F226">
        <v>500000000</v>
      </c>
      <c r="G226">
        <v>150000000</v>
      </c>
      <c r="H226">
        <v>325000000</v>
      </c>
      <c r="I226">
        <v>75000000</v>
      </c>
      <c r="J226">
        <v>50</v>
      </c>
      <c r="K226" t="s">
        <v>32</v>
      </c>
      <c r="L226" t="s">
        <v>839</v>
      </c>
      <c r="M226" t="s">
        <v>42</v>
      </c>
      <c r="N226" s="1">
        <v>46356</v>
      </c>
    </row>
    <row r="227" spans="1:14" x14ac:dyDescent="0.45">
      <c r="A227" t="s">
        <v>669</v>
      </c>
      <c r="B227" t="s">
        <v>838</v>
      </c>
      <c r="C227" t="s">
        <v>1085</v>
      </c>
      <c r="D227" t="s">
        <v>671</v>
      </c>
      <c r="E227">
        <v>500000000</v>
      </c>
      <c r="F227">
        <v>450000000</v>
      </c>
      <c r="G227">
        <v>50000000</v>
      </c>
      <c r="H227">
        <v>200000000</v>
      </c>
      <c r="I227">
        <v>20000000</v>
      </c>
      <c r="J227">
        <v>40</v>
      </c>
      <c r="K227" t="s">
        <v>32</v>
      </c>
      <c r="L227" t="s">
        <v>839</v>
      </c>
      <c r="M227" t="s">
        <v>42</v>
      </c>
      <c r="N227" s="1">
        <v>46356</v>
      </c>
    </row>
    <row r="228" spans="1:14" x14ac:dyDescent="0.45">
      <c r="A228" t="s">
        <v>675</v>
      </c>
      <c r="B228" t="s">
        <v>906</v>
      </c>
      <c r="C228" t="s">
        <v>906</v>
      </c>
      <c r="D228" t="s">
        <v>677</v>
      </c>
      <c r="E228">
        <v>650000000</v>
      </c>
      <c r="F228">
        <v>600000000</v>
      </c>
      <c r="G228">
        <v>50000000</v>
      </c>
      <c r="H228">
        <v>130000000</v>
      </c>
      <c r="I228">
        <v>10000000</v>
      </c>
      <c r="J228">
        <v>20</v>
      </c>
      <c r="K228" t="s">
        <v>32</v>
      </c>
      <c r="L228" t="s">
        <v>839</v>
      </c>
      <c r="M228" t="s">
        <v>51</v>
      </c>
      <c r="N228" s="1">
        <v>46265</v>
      </c>
    </row>
    <row r="229" spans="1:14" x14ac:dyDescent="0.45">
      <c r="A229" t="s">
        <v>679</v>
      </c>
      <c r="B229" t="s">
        <v>880</v>
      </c>
      <c r="C229" t="s">
        <v>1086</v>
      </c>
      <c r="D229" t="s">
        <v>681</v>
      </c>
      <c r="E229">
        <v>100000000</v>
      </c>
      <c r="F229">
        <v>0</v>
      </c>
      <c r="G229">
        <v>100000000</v>
      </c>
      <c r="H229">
        <v>50000000</v>
      </c>
      <c r="I229">
        <v>50000000</v>
      </c>
      <c r="J229">
        <v>50</v>
      </c>
      <c r="K229" t="s">
        <v>32</v>
      </c>
      <c r="L229" t="s">
        <v>839</v>
      </c>
      <c r="M229" t="s">
        <v>66</v>
      </c>
      <c r="N229" s="1">
        <v>46203</v>
      </c>
    </row>
    <row r="230" spans="1:14" x14ac:dyDescent="0.45">
      <c r="A230" t="s">
        <v>684</v>
      </c>
      <c r="B230" t="s">
        <v>995</v>
      </c>
      <c r="C230" t="s">
        <v>1087</v>
      </c>
      <c r="D230" t="s">
        <v>686</v>
      </c>
      <c r="E230">
        <v>325000000</v>
      </c>
      <c r="F230">
        <v>0</v>
      </c>
      <c r="G230">
        <v>325000000</v>
      </c>
      <c r="H230">
        <v>325000000</v>
      </c>
      <c r="I230">
        <v>325000000</v>
      </c>
      <c r="J230">
        <v>100</v>
      </c>
      <c r="K230" t="s">
        <v>32</v>
      </c>
      <c r="L230" t="s">
        <v>839</v>
      </c>
      <c r="M230" t="s">
        <v>66</v>
      </c>
      <c r="N230" s="1">
        <v>46387</v>
      </c>
    </row>
    <row r="231" spans="1:14" x14ac:dyDescent="0.45">
      <c r="A231" t="s">
        <v>684</v>
      </c>
      <c r="B231" t="s">
        <v>910</v>
      </c>
      <c r="C231" t="s">
        <v>1088</v>
      </c>
      <c r="D231" t="s">
        <v>686</v>
      </c>
      <c r="E231">
        <v>572500000</v>
      </c>
      <c r="F231">
        <v>368000000</v>
      </c>
      <c r="G231">
        <v>204500000</v>
      </c>
      <c r="H231">
        <v>572500000</v>
      </c>
      <c r="I231">
        <v>204500000</v>
      </c>
      <c r="J231">
        <v>100</v>
      </c>
      <c r="K231" t="s">
        <v>32</v>
      </c>
      <c r="L231" t="s">
        <v>839</v>
      </c>
      <c r="M231" t="s">
        <v>66</v>
      </c>
      <c r="N231" s="1">
        <v>46387</v>
      </c>
    </row>
    <row r="232" spans="1:14" x14ac:dyDescent="0.45">
      <c r="A232" t="s">
        <v>690</v>
      </c>
      <c r="B232" t="s">
        <v>910</v>
      </c>
      <c r="C232" t="s">
        <v>1089</v>
      </c>
      <c r="D232" t="s">
        <v>692</v>
      </c>
      <c r="E232">
        <v>90750000</v>
      </c>
      <c r="F232">
        <v>49000000</v>
      </c>
      <c r="G232">
        <v>41750000</v>
      </c>
      <c r="H232">
        <v>90750000</v>
      </c>
      <c r="I232">
        <v>41750000</v>
      </c>
      <c r="J232">
        <v>100</v>
      </c>
      <c r="K232" t="s">
        <v>32</v>
      </c>
      <c r="L232" t="s">
        <v>839</v>
      </c>
      <c r="M232" t="s">
        <v>66</v>
      </c>
      <c r="N232" s="1">
        <v>46387</v>
      </c>
    </row>
    <row r="233" spans="1:14" x14ac:dyDescent="0.45">
      <c r="A233" t="s">
        <v>690</v>
      </c>
      <c r="B233" t="s">
        <v>995</v>
      </c>
      <c r="C233" t="s">
        <v>1090</v>
      </c>
      <c r="D233" t="s">
        <v>692</v>
      </c>
      <c r="E233">
        <v>55000000</v>
      </c>
      <c r="F233">
        <v>0</v>
      </c>
      <c r="G233">
        <v>55000000</v>
      </c>
      <c r="H233">
        <v>55000000</v>
      </c>
      <c r="I233">
        <v>55000000</v>
      </c>
      <c r="J233">
        <v>100</v>
      </c>
      <c r="K233" t="s">
        <v>32</v>
      </c>
      <c r="L233" t="s">
        <v>839</v>
      </c>
      <c r="M233" t="s">
        <v>66</v>
      </c>
      <c r="N233" s="1">
        <v>46387</v>
      </c>
    </row>
    <row r="234" spans="1:14" x14ac:dyDescent="0.45">
      <c r="A234" t="s">
        <v>695</v>
      </c>
      <c r="B234" t="s">
        <v>985</v>
      </c>
      <c r="C234" t="s">
        <v>1091</v>
      </c>
      <c r="D234" t="s">
        <v>697</v>
      </c>
      <c r="E234">
        <v>325000000</v>
      </c>
      <c r="F234">
        <v>0</v>
      </c>
      <c r="G234">
        <v>325000000</v>
      </c>
      <c r="H234">
        <v>325000000</v>
      </c>
      <c r="I234">
        <v>325000000</v>
      </c>
      <c r="J234">
        <v>100</v>
      </c>
      <c r="K234" t="s">
        <v>32</v>
      </c>
      <c r="L234" t="s">
        <v>987</v>
      </c>
      <c r="M234" t="s">
        <v>146</v>
      </c>
      <c r="N234" s="1">
        <v>46142</v>
      </c>
    </row>
    <row r="235" spans="1:14" x14ac:dyDescent="0.45">
      <c r="A235" t="s">
        <v>698</v>
      </c>
      <c r="B235" t="s">
        <v>1003</v>
      </c>
      <c r="C235" t="s">
        <v>1092</v>
      </c>
      <c r="D235" t="s">
        <v>700</v>
      </c>
      <c r="E235">
        <v>1369350000</v>
      </c>
      <c r="F235">
        <v>283500000</v>
      </c>
      <c r="G235">
        <v>42570000</v>
      </c>
      <c r="H235">
        <v>1369350000</v>
      </c>
      <c r="I235">
        <v>42570000</v>
      </c>
      <c r="J235">
        <v>100</v>
      </c>
      <c r="K235" t="s">
        <v>32</v>
      </c>
      <c r="L235" t="s">
        <v>987</v>
      </c>
      <c r="M235" t="s">
        <v>66</v>
      </c>
      <c r="N235" s="1">
        <v>46171</v>
      </c>
    </row>
    <row r="236" spans="1:14" x14ac:dyDescent="0.45">
      <c r="A236" t="s">
        <v>701</v>
      </c>
      <c r="B236" t="s">
        <v>848</v>
      </c>
      <c r="C236" t="s">
        <v>1093</v>
      </c>
      <c r="D236" t="s">
        <v>41</v>
      </c>
      <c r="E236">
        <v>300000000</v>
      </c>
      <c r="F236">
        <v>0</v>
      </c>
      <c r="G236">
        <v>300000000</v>
      </c>
      <c r="H236">
        <v>120000000</v>
      </c>
      <c r="I236">
        <v>120000000</v>
      </c>
      <c r="J236">
        <v>40</v>
      </c>
      <c r="K236" t="s">
        <v>32</v>
      </c>
      <c r="L236" t="s">
        <v>987</v>
      </c>
      <c r="M236" t="s">
        <v>42</v>
      </c>
      <c r="N236" s="1">
        <v>46353</v>
      </c>
    </row>
    <row r="237" spans="1:14" x14ac:dyDescent="0.45">
      <c r="A237" t="s">
        <v>705</v>
      </c>
      <c r="B237" t="s">
        <v>995</v>
      </c>
      <c r="C237" t="s">
        <v>1094</v>
      </c>
      <c r="D237" t="s">
        <v>707</v>
      </c>
      <c r="E237">
        <v>250000000</v>
      </c>
      <c r="F237">
        <v>150000000</v>
      </c>
      <c r="G237">
        <v>100000000</v>
      </c>
      <c r="H237">
        <v>100000000</v>
      </c>
      <c r="I237">
        <v>40000000</v>
      </c>
      <c r="J237">
        <v>40</v>
      </c>
      <c r="K237" t="s">
        <v>32</v>
      </c>
      <c r="L237" t="s">
        <v>839</v>
      </c>
      <c r="M237" t="s">
        <v>42</v>
      </c>
      <c r="N237" s="1">
        <v>46356</v>
      </c>
    </row>
    <row r="238" spans="1:14" x14ac:dyDescent="0.45">
      <c r="A238" t="s">
        <v>709</v>
      </c>
      <c r="B238" t="s">
        <v>880</v>
      </c>
      <c r="C238" t="s">
        <v>1037</v>
      </c>
      <c r="D238" t="s">
        <v>482</v>
      </c>
      <c r="E238">
        <v>178677000</v>
      </c>
      <c r="F238">
        <v>0</v>
      </c>
      <c r="G238">
        <v>178677000</v>
      </c>
      <c r="H238">
        <v>89338500</v>
      </c>
      <c r="I238">
        <v>89338500</v>
      </c>
      <c r="J238">
        <v>50</v>
      </c>
      <c r="K238" t="s">
        <v>32</v>
      </c>
      <c r="L238" t="s">
        <v>839</v>
      </c>
      <c r="M238" t="s">
        <v>66</v>
      </c>
      <c r="N238" s="1">
        <v>46203</v>
      </c>
    </row>
    <row r="239" spans="1:14" x14ac:dyDescent="0.45">
      <c r="A239" t="s">
        <v>711</v>
      </c>
      <c r="B239" t="s">
        <v>855</v>
      </c>
      <c r="C239" t="s">
        <v>855</v>
      </c>
      <c r="D239" t="s">
        <v>713</v>
      </c>
      <c r="E239">
        <v>100000000</v>
      </c>
      <c r="F239">
        <v>0</v>
      </c>
      <c r="G239">
        <v>100000000</v>
      </c>
      <c r="H239">
        <v>30000000</v>
      </c>
      <c r="I239">
        <v>30000000</v>
      </c>
      <c r="J239">
        <v>30</v>
      </c>
      <c r="K239" t="s">
        <v>32</v>
      </c>
      <c r="L239" t="s">
        <v>839</v>
      </c>
      <c r="M239" t="s">
        <v>42</v>
      </c>
      <c r="N239" s="1">
        <v>46325</v>
      </c>
    </row>
    <row r="240" spans="1:14" x14ac:dyDescent="0.45">
      <c r="A240" t="s">
        <v>714</v>
      </c>
      <c r="B240" t="s">
        <v>1095</v>
      </c>
      <c r="C240" t="s">
        <v>1096</v>
      </c>
      <c r="D240" t="s">
        <v>671</v>
      </c>
      <c r="E240">
        <v>350000000</v>
      </c>
      <c r="F240">
        <v>300000000</v>
      </c>
      <c r="G240">
        <v>50000000</v>
      </c>
      <c r="H240">
        <v>105000000</v>
      </c>
      <c r="I240">
        <v>15000000</v>
      </c>
      <c r="J240">
        <v>30</v>
      </c>
      <c r="K240" t="s">
        <v>32</v>
      </c>
      <c r="L240" t="s">
        <v>839</v>
      </c>
      <c r="M240" t="s">
        <v>51</v>
      </c>
      <c r="N240" s="1">
        <v>46203</v>
      </c>
    </row>
    <row r="241" spans="1:14" x14ac:dyDescent="0.45">
      <c r="A241" t="s">
        <v>716</v>
      </c>
      <c r="B241" t="s">
        <v>985</v>
      </c>
      <c r="C241" t="s">
        <v>1097</v>
      </c>
      <c r="D241" t="s">
        <v>503</v>
      </c>
      <c r="E241">
        <v>495000000</v>
      </c>
      <c r="F241">
        <v>0</v>
      </c>
      <c r="G241">
        <v>495000000</v>
      </c>
      <c r="H241">
        <v>247500000</v>
      </c>
      <c r="I241">
        <v>247500000</v>
      </c>
      <c r="J241">
        <v>50</v>
      </c>
      <c r="K241" t="s">
        <v>32</v>
      </c>
      <c r="L241" t="s">
        <v>987</v>
      </c>
      <c r="M241" t="s">
        <v>210</v>
      </c>
      <c r="N241" s="1">
        <v>46161</v>
      </c>
    </row>
    <row r="242" spans="1:14" x14ac:dyDescent="0.45">
      <c r="A242" t="s">
        <v>718</v>
      </c>
      <c r="B242" t="s">
        <v>880</v>
      </c>
      <c r="C242" t="s">
        <v>880</v>
      </c>
      <c r="D242" t="s">
        <v>719</v>
      </c>
      <c r="E242">
        <v>100000000</v>
      </c>
      <c r="F242">
        <v>0</v>
      </c>
      <c r="G242">
        <v>100000000</v>
      </c>
      <c r="H242">
        <v>50000000</v>
      </c>
      <c r="I242">
        <v>50000000</v>
      </c>
      <c r="J242">
        <v>50</v>
      </c>
      <c r="K242" t="s">
        <v>32</v>
      </c>
      <c r="L242" t="s">
        <v>839</v>
      </c>
      <c r="M242" t="s">
        <v>42</v>
      </c>
      <c r="N242" s="1">
        <v>46265</v>
      </c>
    </row>
    <row r="243" spans="1:14" x14ac:dyDescent="0.45">
      <c r="A243" t="s">
        <v>720</v>
      </c>
      <c r="B243" t="s">
        <v>910</v>
      </c>
      <c r="C243" t="s">
        <v>1098</v>
      </c>
      <c r="D243" t="s">
        <v>165</v>
      </c>
      <c r="E243">
        <v>1240350000</v>
      </c>
      <c r="F243">
        <v>744455084.02999997</v>
      </c>
      <c r="G243">
        <v>495894915.97000003</v>
      </c>
      <c r="H243">
        <v>620175000</v>
      </c>
      <c r="I243">
        <v>247947457.99000001</v>
      </c>
      <c r="J243">
        <v>50</v>
      </c>
      <c r="K243" t="s">
        <v>32</v>
      </c>
      <c r="L243" t="s">
        <v>839</v>
      </c>
      <c r="M243" t="s">
        <v>66</v>
      </c>
      <c r="N243" s="1">
        <v>46295</v>
      </c>
    </row>
    <row r="244" spans="1:14" x14ac:dyDescent="0.45">
      <c r="A244" t="s">
        <v>720</v>
      </c>
      <c r="B244" t="s">
        <v>995</v>
      </c>
      <c r="C244" t="s">
        <v>1099</v>
      </c>
      <c r="D244" t="s">
        <v>165</v>
      </c>
      <c r="E244">
        <v>185360000</v>
      </c>
      <c r="F244">
        <v>0</v>
      </c>
      <c r="G244">
        <v>185360000</v>
      </c>
      <c r="H244">
        <v>92680000</v>
      </c>
      <c r="I244">
        <v>92680000</v>
      </c>
      <c r="J244">
        <v>50</v>
      </c>
      <c r="K244" t="s">
        <v>32</v>
      </c>
      <c r="L244" t="s">
        <v>839</v>
      </c>
      <c r="M244" t="s">
        <v>66</v>
      </c>
      <c r="N244" s="1">
        <v>46295</v>
      </c>
    </row>
    <row r="245" spans="1:14" x14ac:dyDescent="0.45">
      <c r="A245" t="s">
        <v>720</v>
      </c>
      <c r="B245" t="s">
        <v>995</v>
      </c>
      <c r="C245" t="s">
        <v>1100</v>
      </c>
      <c r="D245" t="s">
        <v>165</v>
      </c>
      <c r="E245">
        <v>55760000</v>
      </c>
      <c r="F245">
        <v>0</v>
      </c>
      <c r="G245">
        <v>55760000</v>
      </c>
      <c r="H245">
        <v>27880000</v>
      </c>
      <c r="I245">
        <v>27880000</v>
      </c>
      <c r="J245">
        <v>50</v>
      </c>
      <c r="K245" t="s">
        <v>32</v>
      </c>
      <c r="L245" t="s">
        <v>839</v>
      </c>
      <c r="M245" t="s">
        <v>66</v>
      </c>
      <c r="N245" s="1">
        <v>46295</v>
      </c>
    </row>
    <row r="246" spans="1:14" x14ac:dyDescent="0.45">
      <c r="A246" t="s">
        <v>726</v>
      </c>
      <c r="B246" t="s">
        <v>984</v>
      </c>
      <c r="C246" t="s">
        <v>1101</v>
      </c>
      <c r="D246" t="s">
        <v>165</v>
      </c>
      <c r="E246">
        <v>2377750000</v>
      </c>
      <c r="F246">
        <v>1545530000</v>
      </c>
      <c r="G246">
        <v>832220000</v>
      </c>
      <c r="H246">
        <v>1188875000</v>
      </c>
      <c r="I246">
        <v>416110000</v>
      </c>
      <c r="J246">
        <v>50</v>
      </c>
      <c r="K246" t="s">
        <v>32</v>
      </c>
      <c r="L246" t="s">
        <v>839</v>
      </c>
      <c r="M246" t="s">
        <v>42</v>
      </c>
      <c r="N246" s="1">
        <v>46295</v>
      </c>
    </row>
    <row r="247" spans="1:14" x14ac:dyDescent="0.45">
      <c r="A247" t="s">
        <v>726</v>
      </c>
      <c r="B247" t="s">
        <v>1030</v>
      </c>
      <c r="C247" t="s">
        <v>1102</v>
      </c>
      <c r="D247" t="s">
        <v>165</v>
      </c>
      <c r="E247">
        <v>450000000</v>
      </c>
      <c r="F247">
        <v>0</v>
      </c>
      <c r="G247">
        <v>450000000</v>
      </c>
      <c r="H247">
        <v>225000000</v>
      </c>
      <c r="I247">
        <v>225000000</v>
      </c>
      <c r="J247">
        <v>50</v>
      </c>
      <c r="K247" t="s">
        <v>32</v>
      </c>
      <c r="L247" t="s">
        <v>839</v>
      </c>
      <c r="M247" t="s">
        <v>42</v>
      </c>
      <c r="N247" s="1">
        <v>46295</v>
      </c>
    </row>
    <row r="248" spans="1:14" x14ac:dyDescent="0.45">
      <c r="A248" t="s">
        <v>726</v>
      </c>
      <c r="B248" t="s">
        <v>1030</v>
      </c>
      <c r="C248" t="s">
        <v>1103</v>
      </c>
      <c r="D248" t="s">
        <v>165</v>
      </c>
      <c r="E248">
        <v>55760000</v>
      </c>
      <c r="F248">
        <v>0</v>
      </c>
      <c r="G248">
        <v>55760000</v>
      </c>
      <c r="H248">
        <v>27880000</v>
      </c>
      <c r="I248">
        <v>27880000</v>
      </c>
      <c r="J248">
        <v>50</v>
      </c>
      <c r="K248" t="s">
        <v>32</v>
      </c>
      <c r="L248" t="s">
        <v>839</v>
      </c>
      <c r="M248" t="s">
        <v>42</v>
      </c>
      <c r="N248" s="1">
        <v>46295</v>
      </c>
    </row>
    <row r="249" spans="1:14" x14ac:dyDescent="0.45">
      <c r="A249" t="s">
        <v>731</v>
      </c>
      <c r="B249" t="s">
        <v>848</v>
      </c>
      <c r="C249" t="s">
        <v>1104</v>
      </c>
      <c r="D249" t="s">
        <v>41</v>
      </c>
      <c r="E249">
        <v>400000000</v>
      </c>
      <c r="F249">
        <v>0</v>
      </c>
      <c r="G249">
        <v>400000000</v>
      </c>
      <c r="H249">
        <v>160000000</v>
      </c>
      <c r="I249">
        <v>160000000</v>
      </c>
      <c r="J249">
        <v>40</v>
      </c>
      <c r="K249" t="s">
        <v>32</v>
      </c>
      <c r="L249" t="s">
        <v>987</v>
      </c>
      <c r="M249" t="s">
        <v>42</v>
      </c>
      <c r="N249" s="1">
        <v>46203</v>
      </c>
    </row>
    <row r="250" spans="1:14" x14ac:dyDescent="0.45">
      <c r="A250" t="s">
        <v>733</v>
      </c>
      <c r="B250" t="s">
        <v>848</v>
      </c>
      <c r="C250" t="s">
        <v>734</v>
      </c>
      <c r="D250" t="s">
        <v>503</v>
      </c>
      <c r="E250">
        <v>170100000</v>
      </c>
      <c r="F250">
        <v>0</v>
      </c>
      <c r="G250">
        <v>170100000</v>
      </c>
      <c r="H250">
        <v>85050000</v>
      </c>
      <c r="I250">
        <v>85050000</v>
      </c>
      <c r="J250">
        <v>50</v>
      </c>
      <c r="K250" t="s">
        <v>32</v>
      </c>
      <c r="L250" t="s">
        <v>987</v>
      </c>
      <c r="M250" t="s">
        <v>66</v>
      </c>
      <c r="N250" s="1">
        <v>46246</v>
      </c>
    </row>
    <row r="251" spans="1:14" x14ac:dyDescent="0.45">
      <c r="A251" t="s">
        <v>737</v>
      </c>
      <c r="B251" t="s">
        <v>1014</v>
      </c>
      <c r="C251" t="s">
        <v>1105</v>
      </c>
      <c r="D251" t="s">
        <v>594</v>
      </c>
      <c r="E251">
        <v>350000000</v>
      </c>
      <c r="F251">
        <v>300000000</v>
      </c>
      <c r="G251">
        <v>50000000</v>
      </c>
      <c r="H251">
        <v>175000000</v>
      </c>
      <c r="I251">
        <v>25000000</v>
      </c>
      <c r="J251">
        <v>50</v>
      </c>
      <c r="K251" t="s">
        <v>32</v>
      </c>
      <c r="L251" t="s">
        <v>839</v>
      </c>
      <c r="M251" t="s">
        <v>66</v>
      </c>
      <c r="N251" s="1">
        <v>46387</v>
      </c>
    </row>
    <row r="252" spans="1:14" x14ac:dyDescent="0.45">
      <c r="A252" t="s">
        <v>733</v>
      </c>
      <c r="B252" t="s">
        <v>1025</v>
      </c>
      <c r="C252" t="s">
        <v>1106</v>
      </c>
      <c r="D252" t="s">
        <v>503</v>
      </c>
      <c r="E252">
        <v>0</v>
      </c>
      <c r="F252">
        <v>16200000</v>
      </c>
      <c r="G252">
        <v>-75816000</v>
      </c>
      <c r="H252">
        <v>0</v>
      </c>
      <c r="I252">
        <v>-37908000</v>
      </c>
      <c r="J252">
        <v>50</v>
      </c>
      <c r="K252" t="s">
        <v>32</v>
      </c>
      <c r="L252" t="s">
        <v>987</v>
      </c>
      <c r="M252" t="s">
        <v>66</v>
      </c>
      <c r="N252" s="1">
        <v>46246</v>
      </c>
    </row>
    <row r="253" spans="1:14" x14ac:dyDescent="0.45">
      <c r="A253" t="s">
        <v>742</v>
      </c>
      <c r="B253" t="s">
        <v>1107</v>
      </c>
      <c r="C253" t="s">
        <v>1108</v>
      </c>
      <c r="D253" t="s">
        <v>744</v>
      </c>
      <c r="E253">
        <v>1100000000</v>
      </c>
      <c r="F253">
        <v>1000000000</v>
      </c>
      <c r="G253">
        <v>100000000</v>
      </c>
      <c r="H253">
        <v>550000000</v>
      </c>
      <c r="I253">
        <v>50000000</v>
      </c>
      <c r="J253">
        <v>50</v>
      </c>
      <c r="K253" t="s">
        <v>32</v>
      </c>
      <c r="L253" t="s">
        <v>839</v>
      </c>
      <c r="M253" t="s">
        <v>42</v>
      </c>
      <c r="N253" s="1">
        <v>46387</v>
      </c>
    </row>
    <row r="254" spans="1:14" x14ac:dyDescent="0.45">
      <c r="A254" t="s">
        <v>745</v>
      </c>
      <c r="B254" t="s">
        <v>1003</v>
      </c>
      <c r="C254" t="s">
        <v>1109</v>
      </c>
      <c r="D254" t="s">
        <v>503</v>
      </c>
      <c r="E254">
        <v>6412500000</v>
      </c>
      <c r="F254">
        <v>6327000000</v>
      </c>
      <c r="G254">
        <v>85500000</v>
      </c>
      <c r="H254">
        <v>3206250000</v>
      </c>
      <c r="I254">
        <v>42750000</v>
      </c>
      <c r="J254">
        <v>50</v>
      </c>
      <c r="K254" t="s">
        <v>32</v>
      </c>
      <c r="L254" t="s">
        <v>987</v>
      </c>
      <c r="M254" t="s">
        <v>210</v>
      </c>
      <c r="N254" s="1">
        <v>46132</v>
      </c>
    </row>
    <row r="255" spans="1:14" x14ac:dyDescent="0.45">
      <c r="A255" t="s">
        <v>747</v>
      </c>
      <c r="B255" t="s">
        <v>880</v>
      </c>
      <c r="C255" t="s">
        <v>748</v>
      </c>
      <c r="D255" t="s">
        <v>749</v>
      </c>
      <c r="E255">
        <v>150000000</v>
      </c>
      <c r="F255">
        <v>0</v>
      </c>
      <c r="G255">
        <v>150000000</v>
      </c>
      <c r="H255">
        <v>60000000</v>
      </c>
      <c r="I255">
        <v>60000000</v>
      </c>
      <c r="J255">
        <v>40</v>
      </c>
      <c r="K255" t="s">
        <v>32</v>
      </c>
      <c r="L255" t="s">
        <v>839</v>
      </c>
      <c r="M255" t="s">
        <v>42</v>
      </c>
      <c r="N255" s="1">
        <v>46203</v>
      </c>
    </row>
    <row r="256" spans="1:14" x14ac:dyDescent="0.45">
      <c r="A256" t="s">
        <v>751</v>
      </c>
      <c r="B256" t="s">
        <v>855</v>
      </c>
      <c r="C256" t="s">
        <v>1047</v>
      </c>
      <c r="D256" t="s">
        <v>654</v>
      </c>
      <c r="E256">
        <v>106770000</v>
      </c>
      <c r="F256">
        <v>0</v>
      </c>
      <c r="G256">
        <v>106770000</v>
      </c>
      <c r="H256">
        <v>53385000</v>
      </c>
      <c r="I256">
        <v>53385000</v>
      </c>
      <c r="J256">
        <v>50</v>
      </c>
      <c r="K256" t="s">
        <v>32</v>
      </c>
      <c r="L256" t="s">
        <v>839</v>
      </c>
      <c r="M256" t="s">
        <v>42</v>
      </c>
      <c r="N256" s="1">
        <v>46295</v>
      </c>
    </row>
    <row r="257" spans="1:14" x14ac:dyDescent="0.45">
      <c r="A257" t="s">
        <v>751</v>
      </c>
      <c r="B257" t="s">
        <v>1045</v>
      </c>
      <c r="C257" t="s">
        <v>1046</v>
      </c>
      <c r="D257" t="s">
        <v>654</v>
      </c>
      <c r="E257">
        <v>69240000</v>
      </c>
      <c r="F257">
        <v>45000000</v>
      </c>
      <c r="G257">
        <v>24240000</v>
      </c>
      <c r="H257">
        <v>34620000</v>
      </c>
      <c r="I257">
        <v>12120000</v>
      </c>
      <c r="J257">
        <v>50</v>
      </c>
      <c r="K257" t="s">
        <v>32</v>
      </c>
      <c r="L257" t="s">
        <v>839</v>
      </c>
      <c r="M257" t="s">
        <v>42</v>
      </c>
      <c r="N257" s="1">
        <v>46295</v>
      </c>
    </row>
    <row r="258" spans="1:14" x14ac:dyDescent="0.45">
      <c r="A258" t="s">
        <v>763</v>
      </c>
      <c r="B258" t="s">
        <v>1025</v>
      </c>
      <c r="C258" t="s">
        <v>1110</v>
      </c>
      <c r="D258" t="s">
        <v>700</v>
      </c>
      <c r="E258">
        <v>5089500000</v>
      </c>
      <c r="F258">
        <v>1086462</v>
      </c>
      <c r="G258">
        <v>200421000</v>
      </c>
      <c r="H258">
        <v>2544750000</v>
      </c>
      <c r="I258">
        <v>100210500</v>
      </c>
      <c r="J258">
        <v>50</v>
      </c>
      <c r="K258" t="s">
        <v>32</v>
      </c>
      <c r="L258" t="s">
        <v>987</v>
      </c>
      <c r="M258" t="s">
        <v>66</v>
      </c>
      <c r="N258" s="1">
        <v>46204</v>
      </c>
    </row>
    <row r="259" spans="1:14" x14ac:dyDescent="0.45">
      <c r="A259" t="s">
        <v>763</v>
      </c>
      <c r="B259" t="s">
        <v>848</v>
      </c>
      <c r="C259" t="s">
        <v>1111</v>
      </c>
      <c r="D259" t="s">
        <v>700</v>
      </c>
      <c r="E259">
        <v>1500000000</v>
      </c>
      <c r="F259">
        <v>0</v>
      </c>
      <c r="G259">
        <v>1500000000</v>
      </c>
      <c r="H259">
        <v>750000000</v>
      </c>
      <c r="I259">
        <v>750000000</v>
      </c>
      <c r="J259">
        <v>50</v>
      </c>
      <c r="K259" t="s">
        <v>32</v>
      </c>
      <c r="L259" t="s">
        <v>987</v>
      </c>
      <c r="M259" t="s">
        <v>66</v>
      </c>
      <c r="N259" s="1">
        <v>46204</v>
      </c>
    </row>
    <row r="260" spans="1:14" x14ac:dyDescent="0.45">
      <c r="A260" t="s">
        <v>675</v>
      </c>
      <c r="B260" t="s">
        <v>906</v>
      </c>
      <c r="C260" t="s">
        <v>673</v>
      </c>
      <c r="D260" t="s">
        <v>677</v>
      </c>
      <c r="E260">
        <v>150000000</v>
      </c>
      <c r="F260">
        <v>0</v>
      </c>
      <c r="G260">
        <v>150000000</v>
      </c>
      <c r="H260">
        <v>30000000</v>
      </c>
      <c r="I260">
        <v>30000000</v>
      </c>
      <c r="J260">
        <v>20</v>
      </c>
      <c r="K260" t="s">
        <v>32</v>
      </c>
      <c r="L260" t="s">
        <v>839</v>
      </c>
      <c r="M260" t="s">
        <v>51</v>
      </c>
      <c r="N260" s="1">
        <v>46265</v>
      </c>
    </row>
    <row r="261" spans="1:14" x14ac:dyDescent="0.45">
      <c r="A261" t="s">
        <v>776</v>
      </c>
      <c r="B261" t="s">
        <v>1003</v>
      </c>
      <c r="C261" t="s">
        <v>1112</v>
      </c>
      <c r="D261" t="s">
        <v>116</v>
      </c>
      <c r="E261">
        <v>1500000000</v>
      </c>
      <c r="F261">
        <v>1200000000</v>
      </c>
      <c r="G261">
        <v>300000000</v>
      </c>
      <c r="H261">
        <v>750000000</v>
      </c>
      <c r="I261">
        <v>150000000</v>
      </c>
      <c r="J261">
        <v>50</v>
      </c>
      <c r="K261" t="s">
        <v>32</v>
      </c>
      <c r="L261" t="s">
        <v>987</v>
      </c>
      <c r="M261" t="s">
        <v>42</v>
      </c>
      <c r="N261" s="1">
        <v>46444</v>
      </c>
    </row>
    <row r="262" spans="1:14" x14ac:dyDescent="0.45">
      <c r="A262" t="s">
        <v>782</v>
      </c>
      <c r="B262" t="s">
        <v>890</v>
      </c>
      <c r="C262" t="s">
        <v>1113</v>
      </c>
      <c r="D262" t="s">
        <v>784</v>
      </c>
      <c r="E262">
        <v>2184980000</v>
      </c>
      <c r="F262">
        <v>1975980000</v>
      </c>
      <c r="G262">
        <v>209000000</v>
      </c>
      <c r="H262">
        <v>1092490000</v>
      </c>
      <c r="I262">
        <v>104500000</v>
      </c>
      <c r="J262">
        <v>50</v>
      </c>
      <c r="K262" t="s">
        <v>32</v>
      </c>
      <c r="L262" t="s">
        <v>839</v>
      </c>
      <c r="M262" t="s">
        <v>42</v>
      </c>
      <c r="N262" s="1">
        <v>46203</v>
      </c>
    </row>
    <row r="263" spans="1:14" x14ac:dyDescent="0.45">
      <c r="A263" t="s">
        <v>786</v>
      </c>
      <c r="B263" t="s">
        <v>1114</v>
      </c>
      <c r="C263" t="s">
        <v>1115</v>
      </c>
      <c r="D263" t="s">
        <v>788</v>
      </c>
      <c r="E263">
        <v>66920000</v>
      </c>
      <c r="F263">
        <v>11761200</v>
      </c>
      <c r="G263">
        <v>55158800</v>
      </c>
      <c r="H263">
        <v>33460000</v>
      </c>
      <c r="I263">
        <v>27579400</v>
      </c>
      <c r="J263">
        <v>50</v>
      </c>
      <c r="K263" t="s">
        <v>32</v>
      </c>
      <c r="L263" t="s">
        <v>839</v>
      </c>
      <c r="M263" t="s">
        <v>66</v>
      </c>
      <c r="N263" s="1">
        <v>46203</v>
      </c>
    </row>
    <row r="264" spans="1:14" x14ac:dyDescent="0.45">
      <c r="A264" t="s">
        <v>786</v>
      </c>
      <c r="B264" t="s">
        <v>1114</v>
      </c>
      <c r="C264" t="s">
        <v>1116</v>
      </c>
      <c r="D264" t="s">
        <v>788</v>
      </c>
      <c r="E264">
        <v>11659100</v>
      </c>
      <c r="F264">
        <v>5682500</v>
      </c>
      <c r="G264">
        <v>5976600</v>
      </c>
      <c r="H264">
        <v>5829550</v>
      </c>
      <c r="I264">
        <v>2988300</v>
      </c>
      <c r="J264">
        <v>50</v>
      </c>
      <c r="K264" t="s">
        <v>32</v>
      </c>
      <c r="L264" t="s">
        <v>839</v>
      </c>
      <c r="M264" t="s">
        <v>66</v>
      </c>
      <c r="N264" s="1">
        <v>46203</v>
      </c>
    </row>
    <row r="265" spans="1:14" x14ac:dyDescent="0.45">
      <c r="A265" t="s">
        <v>786</v>
      </c>
      <c r="B265" t="s">
        <v>1117</v>
      </c>
      <c r="C265" t="s">
        <v>1118</v>
      </c>
      <c r="D265" t="s">
        <v>788</v>
      </c>
      <c r="E265">
        <v>30220700</v>
      </c>
      <c r="F265">
        <v>4000000</v>
      </c>
      <c r="G265">
        <v>26220700</v>
      </c>
      <c r="H265">
        <v>15110350</v>
      </c>
      <c r="I265">
        <v>13110350</v>
      </c>
      <c r="J265">
        <v>50</v>
      </c>
      <c r="K265" t="s">
        <v>32</v>
      </c>
      <c r="L265" t="s">
        <v>839</v>
      </c>
      <c r="M265" t="s">
        <v>66</v>
      </c>
      <c r="N265" s="1">
        <v>46203</v>
      </c>
    </row>
    <row r="266" spans="1:14" x14ac:dyDescent="0.45">
      <c r="A266" t="s">
        <v>786</v>
      </c>
      <c r="B266" t="s">
        <v>1117</v>
      </c>
      <c r="C266" t="s">
        <v>1119</v>
      </c>
      <c r="D266" t="s">
        <v>788</v>
      </c>
      <c r="E266">
        <v>14206600</v>
      </c>
      <c r="F266">
        <v>1562700</v>
      </c>
      <c r="G266">
        <v>12643900</v>
      </c>
      <c r="H266">
        <v>7103300</v>
      </c>
      <c r="I266">
        <v>6321950</v>
      </c>
      <c r="J266">
        <v>50</v>
      </c>
      <c r="K266" t="s">
        <v>32</v>
      </c>
      <c r="L266" t="s">
        <v>839</v>
      </c>
      <c r="M266" t="s">
        <v>66</v>
      </c>
      <c r="N266" s="1">
        <v>46203</v>
      </c>
    </row>
    <row r="267" spans="1:14" x14ac:dyDescent="0.45">
      <c r="A267" t="s">
        <v>474</v>
      </c>
      <c r="B267" t="s">
        <v>1120</v>
      </c>
      <c r="C267" t="s">
        <v>1121</v>
      </c>
      <c r="D267" t="s">
        <v>476</v>
      </c>
      <c r="E267">
        <v>100000000</v>
      </c>
      <c r="F267">
        <v>100000000</v>
      </c>
      <c r="G267">
        <v>0</v>
      </c>
      <c r="H267">
        <v>50000000</v>
      </c>
      <c r="I267">
        <v>0</v>
      </c>
      <c r="J267">
        <v>50</v>
      </c>
      <c r="K267" t="s">
        <v>32</v>
      </c>
      <c r="L267" t="s">
        <v>839</v>
      </c>
      <c r="M267" t="s">
        <v>51</v>
      </c>
      <c r="N267" s="1">
        <v>46171</v>
      </c>
    </row>
    <row r="268" spans="1:14" x14ac:dyDescent="0.45">
      <c r="A268" t="s">
        <v>790</v>
      </c>
      <c r="B268" t="s">
        <v>848</v>
      </c>
      <c r="C268" t="s">
        <v>791</v>
      </c>
      <c r="D268" t="s">
        <v>503</v>
      </c>
      <c r="E268">
        <v>85050000</v>
      </c>
      <c r="F268">
        <v>0</v>
      </c>
      <c r="G268">
        <v>85050000</v>
      </c>
      <c r="H268">
        <v>42525000</v>
      </c>
      <c r="I268">
        <v>42525000</v>
      </c>
      <c r="J268">
        <v>50</v>
      </c>
      <c r="K268" t="s">
        <v>32</v>
      </c>
      <c r="L268" t="s">
        <v>987</v>
      </c>
      <c r="M268" t="s">
        <v>66</v>
      </c>
      <c r="N268" s="1">
        <v>46192</v>
      </c>
    </row>
    <row r="269" spans="1:14" x14ac:dyDescent="0.45">
      <c r="A269" t="s">
        <v>793</v>
      </c>
      <c r="B269" t="s">
        <v>880</v>
      </c>
      <c r="C269" t="s">
        <v>1122</v>
      </c>
      <c r="D269" t="s">
        <v>643</v>
      </c>
      <c r="E269">
        <v>200000000</v>
      </c>
      <c r="F269">
        <v>0</v>
      </c>
      <c r="G269">
        <v>200000000</v>
      </c>
      <c r="H269">
        <v>100000000</v>
      </c>
      <c r="I269">
        <v>100000000</v>
      </c>
      <c r="J269">
        <v>50</v>
      </c>
      <c r="K269" t="s">
        <v>32</v>
      </c>
      <c r="L269" t="s">
        <v>839</v>
      </c>
      <c r="M269" t="s">
        <v>146</v>
      </c>
      <c r="N269" s="1">
        <v>46234</v>
      </c>
    </row>
    <row r="270" spans="1:14" x14ac:dyDescent="0.45">
      <c r="A270" t="s">
        <v>1123</v>
      </c>
      <c r="B270" t="s">
        <v>906</v>
      </c>
      <c r="C270" t="s">
        <v>906</v>
      </c>
      <c r="D270" t="s">
        <v>1124</v>
      </c>
      <c r="E270">
        <v>1000000000</v>
      </c>
      <c r="F270">
        <v>950000000</v>
      </c>
      <c r="G270">
        <v>50000000</v>
      </c>
      <c r="H270">
        <v>300000000</v>
      </c>
      <c r="I270">
        <v>15000000</v>
      </c>
      <c r="J270">
        <v>30</v>
      </c>
      <c r="K270" t="s">
        <v>32</v>
      </c>
      <c r="L270" t="s">
        <v>839</v>
      </c>
      <c r="M270" t="s">
        <v>66</v>
      </c>
      <c r="N270" s="1">
        <v>46353</v>
      </c>
    </row>
    <row r="271" spans="1:14" x14ac:dyDescent="0.45">
      <c r="A271" t="s">
        <v>716</v>
      </c>
      <c r="B271" t="s">
        <v>1025</v>
      </c>
      <c r="C271" t="s">
        <v>1125</v>
      </c>
      <c r="D271" t="s">
        <v>503</v>
      </c>
      <c r="E271">
        <v>0</v>
      </c>
      <c r="F271">
        <v>85500000</v>
      </c>
      <c r="G271">
        <v>-400140000</v>
      </c>
      <c r="H271">
        <v>0</v>
      </c>
      <c r="I271">
        <v>-200070000</v>
      </c>
      <c r="J271">
        <v>50</v>
      </c>
      <c r="K271" t="s">
        <v>32</v>
      </c>
      <c r="L271" t="s">
        <v>987</v>
      </c>
      <c r="M271" t="s">
        <v>210</v>
      </c>
      <c r="N271" s="1">
        <v>46161</v>
      </c>
    </row>
    <row r="272" spans="1:14" x14ac:dyDescent="0.45">
      <c r="A272" t="s">
        <v>799</v>
      </c>
      <c r="B272" t="s">
        <v>910</v>
      </c>
      <c r="C272" t="s">
        <v>911</v>
      </c>
      <c r="D272" t="s">
        <v>423</v>
      </c>
      <c r="E272">
        <v>400000000</v>
      </c>
      <c r="F272">
        <v>355000000</v>
      </c>
      <c r="G272">
        <v>45000000</v>
      </c>
      <c r="H272">
        <v>80000000</v>
      </c>
      <c r="I272">
        <v>9000000</v>
      </c>
      <c r="J272">
        <v>20</v>
      </c>
      <c r="K272" t="s">
        <v>32</v>
      </c>
      <c r="L272" t="s">
        <v>839</v>
      </c>
      <c r="M272" t="s">
        <v>66</v>
      </c>
      <c r="N272" s="1">
        <v>46295</v>
      </c>
    </row>
    <row r="273" spans="1:14" x14ac:dyDescent="0.45">
      <c r="A273" t="s">
        <v>560</v>
      </c>
      <c r="B273" t="s">
        <v>561</v>
      </c>
      <c r="C273" t="s">
        <v>1126</v>
      </c>
      <c r="D273" t="s">
        <v>562</v>
      </c>
      <c r="E273">
        <v>0</v>
      </c>
      <c r="F273">
        <v>10000000</v>
      </c>
      <c r="G273">
        <v>-10000000</v>
      </c>
      <c r="H273">
        <v>0</v>
      </c>
      <c r="I273">
        <v>-5000000</v>
      </c>
      <c r="J273">
        <v>50</v>
      </c>
      <c r="K273" t="s">
        <v>32</v>
      </c>
      <c r="L273" t="s">
        <v>839</v>
      </c>
      <c r="M273" t="s">
        <v>51</v>
      </c>
      <c r="N273" s="1">
        <v>46142</v>
      </c>
    </row>
    <row r="274" spans="1:14" x14ac:dyDescent="0.45">
      <c r="A274" t="s">
        <v>801</v>
      </c>
      <c r="B274" t="s">
        <v>848</v>
      </c>
      <c r="C274" t="s">
        <v>1127</v>
      </c>
      <c r="D274" t="s">
        <v>152</v>
      </c>
      <c r="E274">
        <v>150000000</v>
      </c>
      <c r="F274">
        <v>0</v>
      </c>
      <c r="G274">
        <v>150000000</v>
      </c>
      <c r="H274">
        <v>45000000</v>
      </c>
      <c r="I274">
        <v>45000000</v>
      </c>
      <c r="J274">
        <v>30</v>
      </c>
      <c r="K274" t="s">
        <v>32</v>
      </c>
      <c r="L274" t="s">
        <v>987</v>
      </c>
      <c r="M274" t="s">
        <v>66</v>
      </c>
      <c r="N274" s="1">
        <v>46295</v>
      </c>
    </row>
    <row r="275" spans="1:14" x14ac:dyDescent="0.45">
      <c r="A275" t="s">
        <v>804</v>
      </c>
      <c r="B275" t="s">
        <v>855</v>
      </c>
      <c r="C275" t="s">
        <v>1047</v>
      </c>
      <c r="D275" t="s">
        <v>806</v>
      </c>
      <c r="E275">
        <v>73000000</v>
      </c>
      <c r="F275">
        <v>0</v>
      </c>
      <c r="G275">
        <v>73000000</v>
      </c>
      <c r="H275">
        <v>36500000</v>
      </c>
      <c r="I275">
        <v>36500000</v>
      </c>
      <c r="J275">
        <v>50</v>
      </c>
      <c r="K275" t="s">
        <v>32</v>
      </c>
      <c r="L275" t="s">
        <v>839</v>
      </c>
      <c r="M275" t="s">
        <v>42</v>
      </c>
      <c r="N275" s="1">
        <v>46265</v>
      </c>
    </row>
    <row r="276" spans="1:14" x14ac:dyDescent="0.45">
      <c r="A276" t="s">
        <v>804</v>
      </c>
      <c r="B276" t="s">
        <v>1045</v>
      </c>
      <c r="C276" t="s">
        <v>1128</v>
      </c>
      <c r="D276" t="s">
        <v>806</v>
      </c>
      <c r="E276">
        <v>56250000</v>
      </c>
      <c r="F276">
        <v>45000000</v>
      </c>
      <c r="G276">
        <v>11250000</v>
      </c>
      <c r="H276">
        <v>28125000</v>
      </c>
      <c r="I276">
        <v>5625000</v>
      </c>
      <c r="J276">
        <v>50</v>
      </c>
      <c r="K276" t="s">
        <v>32</v>
      </c>
      <c r="L276" t="s">
        <v>839</v>
      </c>
      <c r="M276" t="s">
        <v>42</v>
      </c>
      <c r="N276" s="1">
        <v>46265</v>
      </c>
    </row>
    <row r="277" spans="1:14" x14ac:dyDescent="0.45">
      <c r="A277" t="s">
        <v>808</v>
      </c>
      <c r="B277" t="s">
        <v>1003</v>
      </c>
      <c r="C277" t="s">
        <v>1129</v>
      </c>
      <c r="D277" t="s">
        <v>810</v>
      </c>
      <c r="E277">
        <v>450000000</v>
      </c>
      <c r="F277">
        <v>15000</v>
      </c>
      <c r="G277">
        <v>193500000</v>
      </c>
      <c r="H277">
        <v>180000000</v>
      </c>
      <c r="I277">
        <v>77400000</v>
      </c>
      <c r="J277">
        <v>40</v>
      </c>
      <c r="K277" t="s">
        <v>32</v>
      </c>
      <c r="L277" t="s">
        <v>987</v>
      </c>
      <c r="M277" t="s">
        <v>51</v>
      </c>
      <c r="N277" s="1">
        <v>46233</v>
      </c>
    </row>
    <row r="278" spans="1:14" x14ac:dyDescent="0.45">
      <c r="A278" t="s">
        <v>812</v>
      </c>
      <c r="B278" t="s">
        <v>880</v>
      </c>
      <c r="C278" t="s">
        <v>1036</v>
      </c>
      <c r="D278" t="s">
        <v>649</v>
      </c>
      <c r="E278">
        <v>48000000</v>
      </c>
      <c r="F278">
        <v>0</v>
      </c>
      <c r="G278">
        <v>48000000</v>
      </c>
      <c r="H278">
        <v>19200000</v>
      </c>
      <c r="I278">
        <v>19200000</v>
      </c>
      <c r="J278">
        <v>40</v>
      </c>
      <c r="K278" t="s">
        <v>32</v>
      </c>
      <c r="L278" t="s">
        <v>839</v>
      </c>
      <c r="M278" t="s">
        <v>146</v>
      </c>
      <c r="N278" s="1">
        <v>46173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AC7C-49F8-4951-B516-CEDD2F375EF5}">
  <dimension ref="B2:G80"/>
  <sheetViews>
    <sheetView tabSelected="1" topLeftCell="B12" workbookViewId="0">
      <selection activeCell="G59" sqref="G59"/>
    </sheetView>
  </sheetViews>
  <sheetFormatPr defaultRowHeight="14.25" x14ac:dyDescent="0.45"/>
  <cols>
    <col min="2" max="2" width="10.33203125" customWidth="1"/>
    <col min="3" max="3" width="22.3984375" customWidth="1"/>
    <col min="4" max="4" width="26.33203125" customWidth="1"/>
    <col min="5" max="5" width="30.9296875" customWidth="1"/>
    <col min="6" max="6" width="80.1328125" customWidth="1"/>
    <col min="7" max="7" width="19" customWidth="1"/>
  </cols>
  <sheetData>
    <row r="2" spans="2:7" ht="45.4" customHeight="1" x14ac:dyDescent="0.45">
      <c r="B2" s="3" t="s">
        <v>1134</v>
      </c>
      <c r="C2" s="3" t="s">
        <v>1135</v>
      </c>
      <c r="D2" s="4" t="s">
        <v>1136</v>
      </c>
      <c r="E2" s="4" t="s">
        <v>1137</v>
      </c>
      <c r="F2" s="4" t="s">
        <v>1138</v>
      </c>
    </row>
    <row r="3" spans="2:7" x14ac:dyDescent="0.45">
      <c r="B3" s="5" t="s">
        <v>1139</v>
      </c>
      <c r="C3" s="6" t="s">
        <v>423</v>
      </c>
      <c r="D3" s="7" t="s">
        <v>1140</v>
      </c>
      <c r="E3" s="8" t="s">
        <v>1141</v>
      </c>
      <c r="F3" s="9" t="s">
        <v>1142</v>
      </c>
    </row>
    <row r="4" spans="2:7" x14ac:dyDescent="0.45">
      <c r="B4" s="5"/>
      <c r="C4" s="6" t="s">
        <v>1143</v>
      </c>
      <c r="D4" s="7" t="s">
        <v>906</v>
      </c>
      <c r="E4" s="8" t="s">
        <v>1141</v>
      </c>
      <c r="F4" s="9" t="s">
        <v>1144</v>
      </c>
    </row>
    <row r="5" spans="2:7" ht="28.5" x14ac:dyDescent="0.45">
      <c r="B5" s="5"/>
      <c r="C5" s="6" t="s">
        <v>594</v>
      </c>
      <c r="D5" s="9" t="s">
        <v>1145</v>
      </c>
      <c r="E5" s="8" t="s">
        <v>1141</v>
      </c>
      <c r="F5" s="9" t="s">
        <v>1146</v>
      </c>
    </row>
    <row r="6" spans="2:7" x14ac:dyDescent="0.45">
      <c r="B6" s="5"/>
      <c r="C6" s="6" t="s">
        <v>1147</v>
      </c>
      <c r="D6" s="7" t="s">
        <v>1148</v>
      </c>
      <c r="E6" s="8" t="s">
        <v>1141</v>
      </c>
      <c r="F6" s="9" t="s">
        <v>1149</v>
      </c>
    </row>
    <row r="7" spans="2:7" x14ac:dyDescent="0.45">
      <c r="B7" s="5"/>
      <c r="C7" s="6" t="s">
        <v>1150</v>
      </c>
      <c r="D7" s="7" t="s">
        <v>1151</v>
      </c>
      <c r="E7" s="8" t="s">
        <v>1141</v>
      </c>
      <c r="F7" s="9" t="s">
        <v>1152</v>
      </c>
    </row>
    <row r="8" spans="2:7" x14ac:dyDescent="0.45">
      <c r="B8" s="5"/>
      <c r="C8" s="6" t="s">
        <v>1153</v>
      </c>
      <c r="D8" s="7" t="s">
        <v>1154</v>
      </c>
      <c r="E8" s="8" t="s">
        <v>1132</v>
      </c>
      <c r="F8" s="9" t="s">
        <v>1155</v>
      </c>
    </row>
    <row r="9" spans="2:7" ht="28.5" x14ac:dyDescent="0.45">
      <c r="B9" s="5"/>
      <c r="C9" s="6" t="s">
        <v>1156</v>
      </c>
      <c r="D9" s="7" t="s">
        <v>1157</v>
      </c>
      <c r="E9" s="8" t="s">
        <v>1141</v>
      </c>
      <c r="F9" s="9" t="s">
        <v>1158</v>
      </c>
    </row>
    <row r="10" spans="2:7" ht="28.5" x14ac:dyDescent="0.45">
      <c r="B10" s="10" t="s">
        <v>1159</v>
      </c>
      <c r="C10" s="6" t="s">
        <v>663</v>
      </c>
      <c r="D10" s="7" t="s">
        <v>1160</v>
      </c>
      <c r="E10" s="8" t="s">
        <v>1141</v>
      </c>
      <c r="F10" s="9" t="s">
        <v>1161</v>
      </c>
    </row>
    <row r="11" spans="2:7" x14ac:dyDescent="0.45">
      <c r="B11" s="11"/>
      <c r="C11" s="6" t="s">
        <v>1162</v>
      </c>
      <c r="D11" s="7" t="s">
        <v>353</v>
      </c>
      <c r="E11" s="8" t="s">
        <v>1132</v>
      </c>
      <c r="F11" s="9" t="s">
        <v>1163</v>
      </c>
    </row>
    <row r="12" spans="2:7" ht="28.5" x14ac:dyDescent="0.45">
      <c r="B12" s="11"/>
      <c r="C12" s="6" t="s">
        <v>1164</v>
      </c>
      <c r="D12" s="7" t="s">
        <v>1165</v>
      </c>
      <c r="E12" s="8" t="s">
        <v>1141</v>
      </c>
      <c r="F12" s="9" t="s">
        <v>1166</v>
      </c>
      <c r="G12" t="s">
        <v>1167</v>
      </c>
    </row>
    <row r="13" spans="2:7" x14ac:dyDescent="0.45">
      <c r="B13" s="11"/>
      <c r="C13" s="6" t="s">
        <v>1168</v>
      </c>
      <c r="D13" s="7" t="s">
        <v>1169</v>
      </c>
      <c r="E13" s="8" t="s">
        <v>1132</v>
      </c>
      <c r="F13" s="7" t="s">
        <v>1170</v>
      </c>
    </row>
    <row r="14" spans="2:7" x14ac:dyDescent="0.45">
      <c r="B14" s="11"/>
      <c r="C14" s="12" t="s">
        <v>1171</v>
      </c>
      <c r="D14" s="7" t="s">
        <v>1172</v>
      </c>
      <c r="E14" s="8" t="s">
        <v>1132</v>
      </c>
      <c r="F14" s="7" t="s">
        <v>1173</v>
      </c>
    </row>
    <row r="15" spans="2:7" x14ac:dyDescent="0.45">
      <c r="B15" s="11"/>
      <c r="C15" s="12" t="s">
        <v>1174</v>
      </c>
      <c r="D15" s="7" t="s">
        <v>880</v>
      </c>
      <c r="E15" s="8" t="s">
        <v>1132</v>
      </c>
      <c r="F15" s="7" t="s">
        <v>1175</v>
      </c>
    </row>
    <row r="16" spans="2:7" x14ac:dyDescent="0.45">
      <c r="B16" s="11"/>
      <c r="C16" s="12" t="s">
        <v>1176</v>
      </c>
      <c r="D16" s="7" t="s">
        <v>1052</v>
      </c>
      <c r="E16" s="13" t="s">
        <v>1141</v>
      </c>
      <c r="F16" s="7" t="s">
        <v>1177</v>
      </c>
    </row>
    <row r="17" spans="2:7" x14ac:dyDescent="0.45">
      <c r="B17" s="11"/>
      <c r="C17" s="14" t="s">
        <v>1178</v>
      </c>
      <c r="D17" s="15" t="s">
        <v>1179</v>
      </c>
      <c r="E17" s="13" t="s">
        <v>1180</v>
      </c>
      <c r="F17" s="9" t="s">
        <v>1181</v>
      </c>
    </row>
    <row r="18" spans="2:7" x14ac:dyDescent="0.45">
      <c r="B18" s="11"/>
      <c r="C18" s="14" t="s">
        <v>1182</v>
      </c>
      <c r="D18" s="15" t="s">
        <v>1183</v>
      </c>
      <c r="E18" s="13" t="s">
        <v>1141</v>
      </c>
      <c r="F18" s="16" t="s">
        <v>1184</v>
      </c>
    </row>
    <row r="19" spans="2:7" x14ac:dyDescent="0.45">
      <c r="B19" s="11"/>
      <c r="C19" s="8" t="s">
        <v>1164</v>
      </c>
      <c r="D19" s="7" t="s">
        <v>1185</v>
      </c>
      <c r="E19" s="13" t="s">
        <v>1141</v>
      </c>
      <c r="F19" s="7" t="s">
        <v>1186</v>
      </c>
      <c r="G19" t="s">
        <v>1167</v>
      </c>
    </row>
    <row r="20" spans="2:7" x14ac:dyDescent="0.45">
      <c r="B20" s="11"/>
      <c r="C20" s="8" t="s">
        <v>1147</v>
      </c>
      <c r="D20" s="7" t="s">
        <v>1187</v>
      </c>
      <c r="E20" s="13" t="s">
        <v>1141</v>
      </c>
      <c r="F20" s="7" t="s">
        <v>1188</v>
      </c>
    </row>
    <row r="21" spans="2:7" x14ac:dyDescent="0.45">
      <c r="B21" s="11"/>
      <c r="C21" s="8" t="s">
        <v>1189</v>
      </c>
      <c r="D21" s="7" t="s">
        <v>1190</v>
      </c>
      <c r="E21" s="13" t="s">
        <v>1132</v>
      </c>
      <c r="F21" s="7" t="s">
        <v>1191</v>
      </c>
    </row>
    <row r="22" spans="2:7" x14ac:dyDescent="0.45">
      <c r="B22" s="11"/>
      <c r="C22" s="8" t="s">
        <v>1192</v>
      </c>
      <c r="D22" s="7" t="s">
        <v>796</v>
      </c>
      <c r="E22" s="13" t="s">
        <v>1132</v>
      </c>
      <c r="F22" s="7" t="s">
        <v>1193</v>
      </c>
    </row>
    <row r="23" spans="2:7" x14ac:dyDescent="0.45">
      <c r="B23" s="11"/>
      <c r="C23" s="8" t="s">
        <v>1192</v>
      </c>
      <c r="D23" s="7" t="s">
        <v>1080</v>
      </c>
      <c r="E23" s="13" t="s">
        <v>1132</v>
      </c>
      <c r="F23" s="7" t="s">
        <v>1194</v>
      </c>
    </row>
    <row r="24" spans="2:7" x14ac:dyDescent="0.45">
      <c r="B24" s="11"/>
      <c r="C24" s="8" t="s">
        <v>1195</v>
      </c>
      <c r="D24" s="7" t="s">
        <v>1196</v>
      </c>
      <c r="E24" s="13" t="s">
        <v>1132</v>
      </c>
      <c r="F24" s="7" t="s">
        <v>1197</v>
      </c>
    </row>
    <row r="25" spans="2:7" x14ac:dyDescent="0.45">
      <c r="B25" s="11"/>
      <c r="C25" s="8" t="s">
        <v>749</v>
      </c>
      <c r="D25" s="7" t="s">
        <v>880</v>
      </c>
      <c r="E25" s="13" t="s">
        <v>1180</v>
      </c>
      <c r="F25" s="7" t="s">
        <v>1198</v>
      </c>
    </row>
    <row r="26" spans="2:7" x14ac:dyDescent="0.45">
      <c r="B26" s="11"/>
      <c r="C26" s="8" t="s">
        <v>1199</v>
      </c>
      <c r="D26" s="7" t="s">
        <v>1200</v>
      </c>
      <c r="E26" s="13" t="s">
        <v>1180</v>
      </c>
      <c r="F26" s="7" t="s">
        <v>1201</v>
      </c>
    </row>
    <row r="27" spans="2:7" x14ac:dyDescent="0.45">
      <c r="B27" s="17"/>
      <c r="C27" s="8" t="s">
        <v>1202</v>
      </c>
      <c r="D27" s="7" t="s">
        <v>1033</v>
      </c>
      <c r="E27" s="13" t="s">
        <v>1141</v>
      </c>
      <c r="F27" s="7" t="s">
        <v>1203</v>
      </c>
    </row>
    <row r="28" spans="2:7" x14ac:dyDescent="0.45">
      <c r="B28" s="5" t="s">
        <v>1204</v>
      </c>
      <c r="C28" s="18" t="s">
        <v>1205</v>
      </c>
      <c r="D28" s="19" t="s">
        <v>1206</v>
      </c>
      <c r="E28" s="20" t="s">
        <v>1132</v>
      </c>
      <c r="F28" s="19" t="s">
        <v>1207</v>
      </c>
    </row>
    <row r="29" spans="2:7" x14ac:dyDescent="0.45">
      <c r="B29" s="5"/>
      <c r="C29" s="8" t="s">
        <v>1208</v>
      </c>
      <c r="D29" s="7" t="s">
        <v>1206</v>
      </c>
      <c r="E29" s="13" t="s">
        <v>1132</v>
      </c>
      <c r="F29" s="7" t="s">
        <v>1209</v>
      </c>
    </row>
    <row r="30" spans="2:7" x14ac:dyDescent="0.45">
      <c r="B30" s="5"/>
      <c r="C30" s="8" t="s">
        <v>1210</v>
      </c>
      <c r="D30" s="7" t="s">
        <v>906</v>
      </c>
      <c r="E30" s="13" t="s">
        <v>1132</v>
      </c>
      <c r="F30" s="7" t="s">
        <v>1211</v>
      </c>
    </row>
    <row r="31" spans="2:7" x14ac:dyDescent="0.45">
      <c r="B31" s="5"/>
      <c r="C31" s="8" t="s">
        <v>1212</v>
      </c>
      <c r="D31" s="7" t="s">
        <v>1213</v>
      </c>
      <c r="E31" s="13" t="s">
        <v>1132</v>
      </c>
      <c r="F31" s="7" t="s">
        <v>1214</v>
      </c>
    </row>
    <row r="32" spans="2:7" x14ac:dyDescent="0.45">
      <c r="B32" s="5"/>
      <c r="C32" s="8" t="s">
        <v>562</v>
      </c>
      <c r="D32" s="7" t="s">
        <v>1215</v>
      </c>
      <c r="E32" s="13" t="s">
        <v>1141</v>
      </c>
      <c r="F32" s="7" t="s">
        <v>1216</v>
      </c>
    </row>
    <row r="33" spans="2:6" ht="28.5" x14ac:dyDescent="0.45">
      <c r="B33" s="5"/>
      <c r="C33" s="7"/>
      <c r="D33" s="7" t="s">
        <v>1217</v>
      </c>
      <c r="E33" s="13" t="s">
        <v>1141</v>
      </c>
      <c r="F33" s="9" t="s">
        <v>1218</v>
      </c>
    </row>
    <row r="34" spans="2:6" x14ac:dyDescent="0.45">
      <c r="B34" s="5" t="s">
        <v>1219</v>
      </c>
      <c r="C34" s="7" t="s">
        <v>1220</v>
      </c>
      <c r="D34" s="7" t="s">
        <v>1221</v>
      </c>
      <c r="E34" s="13" t="s">
        <v>1132</v>
      </c>
      <c r="F34" s="7" t="s">
        <v>1222</v>
      </c>
    </row>
    <row r="35" spans="2:6" x14ac:dyDescent="0.45">
      <c r="B35" s="5"/>
      <c r="C35" s="7" t="s">
        <v>1174</v>
      </c>
      <c r="D35" s="7" t="s">
        <v>1223</v>
      </c>
      <c r="E35" s="13" t="s">
        <v>1132</v>
      </c>
      <c r="F35" s="7" t="s">
        <v>1224</v>
      </c>
    </row>
    <row r="36" spans="2:6" x14ac:dyDescent="0.45">
      <c r="B36" s="5"/>
      <c r="C36" s="7"/>
      <c r="D36" s="7"/>
      <c r="E36" s="7"/>
      <c r="F36" s="7"/>
    </row>
    <row r="37" spans="2:6" x14ac:dyDescent="0.45">
      <c r="B37" s="5"/>
      <c r="C37" s="7"/>
      <c r="D37" s="7"/>
      <c r="E37" s="7"/>
      <c r="F37" s="7"/>
    </row>
    <row r="38" spans="2:6" x14ac:dyDescent="0.45">
      <c r="B38" s="5"/>
      <c r="C38" s="7"/>
      <c r="D38" s="7"/>
      <c r="E38" s="7"/>
      <c r="F38" s="7"/>
    </row>
    <row r="39" spans="2:6" x14ac:dyDescent="0.45">
      <c r="B39" s="5"/>
      <c r="C39" s="7"/>
      <c r="D39" s="7"/>
      <c r="E39" s="7"/>
      <c r="F39" s="7"/>
    </row>
    <row r="42" spans="2:6" x14ac:dyDescent="0.45">
      <c r="D42" s="21" t="s">
        <v>1225</v>
      </c>
    </row>
    <row r="43" spans="2:6" x14ac:dyDescent="0.45">
      <c r="D43" s="7" t="s">
        <v>1226</v>
      </c>
      <c r="E43" s="7" t="s">
        <v>1169</v>
      </c>
      <c r="F43" s="9" t="s">
        <v>1227</v>
      </c>
    </row>
    <row r="44" spans="2:6" x14ac:dyDescent="0.45">
      <c r="D44" s="7"/>
      <c r="E44" s="7" t="s">
        <v>1154</v>
      </c>
      <c r="F44" s="7" t="s">
        <v>1228</v>
      </c>
    </row>
    <row r="45" spans="2:6" x14ac:dyDescent="0.45">
      <c r="D45" s="7" t="s">
        <v>1229</v>
      </c>
      <c r="E45" s="7" t="s">
        <v>1230</v>
      </c>
      <c r="F45" s="7" t="s">
        <v>1231</v>
      </c>
    </row>
    <row r="46" spans="2:6" x14ac:dyDescent="0.45">
      <c r="D46" s="7" t="s">
        <v>1232</v>
      </c>
      <c r="E46" s="7" t="s">
        <v>1233</v>
      </c>
      <c r="F46" s="22" t="s">
        <v>1234</v>
      </c>
    </row>
    <row r="47" spans="2:6" x14ac:dyDescent="0.45">
      <c r="D47" s="7" t="s">
        <v>1235</v>
      </c>
      <c r="E47" s="7" t="s">
        <v>1236</v>
      </c>
      <c r="F47" s="9" t="s">
        <v>1237</v>
      </c>
    </row>
    <row r="48" spans="2:6" ht="28.5" x14ac:dyDescent="0.45">
      <c r="D48" s="7" t="s">
        <v>1238</v>
      </c>
      <c r="E48" s="7" t="s">
        <v>1239</v>
      </c>
      <c r="F48" s="22" t="s">
        <v>1240</v>
      </c>
    </row>
    <row r="49" spans="4:6" x14ac:dyDescent="0.45">
      <c r="D49" s="7" t="s">
        <v>1241</v>
      </c>
      <c r="E49" s="7" t="s">
        <v>880</v>
      </c>
      <c r="F49" s="7" t="s">
        <v>1242</v>
      </c>
    </row>
    <row r="50" spans="4:6" x14ac:dyDescent="0.45">
      <c r="D50" s="7"/>
      <c r="E50" s="7" t="s">
        <v>824</v>
      </c>
      <c r="F50" s="23" t="s">
        <v>1243</v>
      </c>
    </row>
    <row r="51" spans="4:6" x14ac:dyDescent="0.45">
      <c r="D51" s="7" t="s">
        <v>1143</v>
      </c>
      <c r="E51" s="7" t="s">
        <v>880</v>
      </c>
      <c r="F51" s="7" t="s">
        <v>1244</v>
      </c>
    </row>
    <row r="52" spans="4:6" x14ac:dyDescent="0.45">
      <c r="D52" s="7" t="s">
        <v>594</v>
      </c>
      <c r="E52" s="7" t="s">
        <v>1172</v>
      </c>
      <c r="F52" s="23" t="s">
        <v>1245</v>
      </c>
    </row>
    <row r="53" spans="4:6" x14ac:dyDescent="0.45">
      <c r="D53" s="7"/>
      <c r="E53" s="7" t="s">
        <v>1160</v>
      </c>
      <c r="F53" s="7" t="s">
        <v>1246</v>
      </c>
    </row>
    <row r="54" spans="4:6" x14ac:dyDescent="0.45">
      <c r="D54" s="7"/>
      <c r="E54" s="7" t="s">
        <v>1033</v>
      </c>
      <c r="F54" s="7" t="s">
        <v>1247</v>
      </c>
    </row>
    <row r="55" spans="4:6" x14ac:dyDescent="0.45">
      <c r="D55" s="7" t="s">
        <v>1153</v>
      </c>
      <c r="E55" s="7" t="s">
        <v>1154</v>
      </c>
      <c r="F55" s="7" t="s">
        <v>1248</v>
      </c>
    </row>
    <row r="56" spans="4:6" x14ac:dyDescent="0.45">
      <c r="D56" s="7" t="s">
        <v>1249</v>
      </c>
      <c r="E56" s="7" t="s">
        <v>1250</v>
      </c>
      <c r="F56" s="7" t="s">
        <v>1251</v>
      </c>
    </row>
    <row r="57" spans="4:6" x14ac:dyDescent="0.45">
      <c r="D57" s="7"/>
      <c r="E57" s="7" t="s">
        <v>1252</v>
      </c>
      <c r="F57" s="7" t="s">
        <v>1253</v>
      </c>
    </row>
    <row r="58" spans="4:6" x14ac:dyDescent="0.45">
      <c r="D58" s="7"/>
      <c r="E58" s="7" t="s">
        <v>1254</v>
      </c>
      <c r="F58" s="7" t="s">
        <v>1255</v>
      </c>
    </row>
    <row r="59" spans="4:6" x14ac:dyDescent="0.45">
      <c r="D59" s="7"/>
      <c r="E59" s="7"/>
      <c r="F59" s="24" t="s">
        <v>1256</v>
      </c>
    </row>
    <row r="60" spans="4:6" x14ac:dyDescent="0.45">
      <c r="D60" s="7" t="s">
        <v>124</v>
      </c>
      <c r="E60" s="7" t="s">
        <v>1257</v>
      </c>
      <c r="F60" s="7" t="s">
        <v>1258</v>
      </c>
    </row>
    <row r="61" spans="4:6" x14ac:dyDescent="0.45">
      <c r="D61" s="7" t="s">
        <v>1259</v>
      </c>
      <c r="E61" s="7" t="s">
        <v>1260</v>
      </c>
      <c r="F61" s="7" t="s">
        <v>1261</v>
      </c>
    </row>
    <row r="62" spans="4:6" x14ac:dyDescent="0.45">
      <c r="D62" s="7" t="s">
        <v>1262</v>
      </c>
      <c r="E62" s="7" t="s">
        <v>1263</v>
      </c>
      <c r="F62" s="7" t="s">
        <v>1264</v>
      </c>
    </row>
    <row r="63" spans="4:6" x14ac:dyDescent="0.45">
      <c r="D63" s="7"/>
      <c r="E63" s="7" t="s">
        <v>906</v>
      </c>
      <c r="F63" s="24" t="s">
        <v>1265</v>
      </c>
    </row>
    <row r="64" spans="4:6" x14ac:dyDescent="0.45">
      <c r="D64" s="7" t="s">
        <v>1156</v>
      </c>
      <c r="E64" s="7" t="s">
        <v>1169</v>
      </c>
      <c r="F64" s="24" t="s">
        <v>1266</v>
      </c>
    </row>
    <row r="65" spans="4:6" x14ac:dyDescent="0.45">
      <c r="D65" s="7"/>
      <c r="E65" s="7" t="s">
        <v>1267</v>
      </c>
      <c r="F65" s="24" t="s">
        <v>1266</v>
      </c>
    </row>
    <row r="66" spans="4:6" x14ac:dyDescent="0.45">
      <c r="D66" s="7" t="s">
        <v>1268</v>
      </c>
      <c r="E66" s="7" t="s">
        <v>1269</v>
      </c>
      <c r="F66" s="7" t="s">
        <v>1270</v>
      </c>
    </row>
    <row r="67" spans="4:6" x14ac:dyDescent="0.45">
      <c r="D67" s="7" t="s">
        <v>1271</v>
      </c>
      <c r="E67" s="7" t="s">
        <v>1272</v>
      </c>
      <c r="F67" s="7" t="s">
        <v>1273</v>
      </c>
    </row>
    <row r="68" spans="4:6" x14ac:dyDescent="0.45">
      <c r="D68" s="7" t="s">
        <v>1274</v>
      </c>
      <c r="E68" s="7" t="s">
        <v>1206</v>
      </c>
      <c r="F68" s="7" t="s">
        <v>1275</v>
      </c>
    </row>
    <row r="69" spans="4:6" x14ac:dyDescent="0.45">
      <c r="D69" s="7" t="s">
        <v>1276</v>
      </c>
      <c r="E69" s="7" t="s">
        <v>1277</v>
      </c>
      <c r="F69" s="7" t="s">
        <v>1278</v>
      </c>
    </row>
    <row r="70" spans="4:6" x14ac:dyDescent="0.45">
      <c r="D70" s="7" t="s">
        <v>1279</v>
      </c>
      <c r="E70" s="7" t="s">
        <v>1169</v>
      </c>
      <c r="F70" s="24" t="s">
        <v>1266</v>
      </c>
    </row>
    <row r="71" spans="4:6" x14ac:dyDescent="0.45">
      <c r="D71" s="7" t="s">
        <v>1280</v>
      </c>
      <c r="E71" s="7" t="s">
        <v>880</v>
      </c>
      <c r="F71" s="24" t="s">
        <v>1266</v>
      </c>
    </row>
    <row r="72" spans="4:6" x14ac:dyDescent="0.45">
      <c r="D72" s="7"/>
      <c r="E72" s="7" t="s">
        <v>1281</v>
      </c>
      <c r="F72" s="24" t="s">
        <v>1266</v>
      </c>
    </row>
    <row r="73" spans="4:6" x14ac:dyDescent="0.45">
      <c r="D73" s="7" t="s">
        <v>1282</v>
      </c>
      <c r="E73" s="7" t="s">
        <v>880</v>
      </c>
      <c r="F73" s="7" t="s">
        <v>1283</v>
      </c>
    </row>
    <row r="74" spans="4:6" x14ac:dyDescent="0.45">
      <c r="D74" s="7" t="s">
        <v>1284</v>
      </c>
      <c r="E74" s="7" t="s">
        <v>1285</v>
      </c>
      <c r="F74" s="24" t="s">
        <v>1286</v>
      </c>
    </row>
    <row r="75" spans="4:6" x14ac:dyDescent="0.45">
      <c r="D75" s="7" t="s">
        <v>1287</v>
      </c>
      <c r="E75" s="7" t="s">
        <v>897</v>
      </c>
      <c r="F75" s="7" t="s">
        <v>1288</v>
      </c>
    </row>
    <row r="76" spans="4:6" x14ac:dyDescent="0.45">
      <c r="D76" s="7"/>
      <c r="E76" s="7" t="s">
        <v>1285</v>
      </c>
      <c r="F76" s="24" t="s">
        <v>1266</v>
      </c>
    </row>
    <row r="77" spans="4:6" x14ac:dyDescent="0.45">
      <c r="D77" s="7"/>
      <c r="E77" s="7" t="s">
        <v>1289</v>
      </c>
      <c r="F77" s="24" t="s">
        <v>1266</v>
      </c>
    </row>
    <row r="78" spans="4:6" x14ac:dyDescent="0.45">
      <c r="D78" s="7" t="s">
        <v>1290</v>
      </c>
      <c r="E78" s="7" t="s">
        <v>1291</v>
      </c>
      <c r="F78" s="7" t="s">
        <v>1292</v>
      </c>
    </row>
    <row r="79" spans="4:6" x14ac:dyDescent="0.45">
      <c r="D79" s="7" t="s">
        <v>1287</v>
      </c>
      <c r="E79" s="7" t="s">
        <v>1293</v>
      </c>
      <c r="F79" s="7" t="s">
        <v>1294</v>
      </c>
    </row>
    <row r="80" spans="4:6" x14ac:dyDescent="0.45">
      <c r="D80" s="7"/>
      <c r="E80" s="7" t="s">
        <v>1295</v>
      </c>
      <c r="F80" s="7" t="s">
        <v>1294</v>
      </c>
    </row>
  </sheetData>
  <mergeCells count="4">
    <mergeCell ref="B3:B9"/>
    <mergeCell ref="B10:B27"/>
    <mergeCell ref="B28:B33"/>
    <mergeCell ref="B34:B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2176-7E5F-45DA-9C5B-52FBB7F817F7}">
  <dimension ref="B2:K79"/>
  <sheetViews>
    <sheetView topLeftCell="A48" zoomScale="140" zoomScaleNormal="140" workbookViewId="0">
      <selection activeCell="G59" sqref="G59"/>
    </sheetView>
  </sheetViews>
  <sheetFormatPr defaultRowHeight="14.25" x14ac:dyDescent="0.45"/>
  <cols>
    <col min="2" max="2" width="20.06640625" customWidth="1"/>
    <col min="3" max="3" width="18.1328125" customWidth="1"/>
    <col min="4" max="4" width="16.9296875" bestFit="1" customWidth="1"/>
    <col min="10" max="10" width="9.86328125" bestFit="1" customWidth="1"/>
    <col min="11" max="11" width="14.3984375" bestFit="1" customWidth="1"/>
  </cols>
  <sheetData>
    <row r="2" spans="2:4" x14ac:dyDescent="0.45">
      <c r="B2" s="25" t="s">
        <v>1134</v>
      </c>
      <c r="C2" s="25" t="s">
        <v>1296</v>
      </c>
      <c r="D2" s="25" t="s">
        <v>1297</v>
      </c>
    </row>
    <row r="3" spans="2:4" x14ac:dyDescent="0.45">
      <c r="B3" t="s">
        <v>1298</v>
      </c>
      <c r="C3" s="26">
        <v>8800658276.1236</v>
      </c>
      <c r="D3" s="26">
        <v>14483868973.599998</v>
      </c>
    </row>
    <row r="4" spans="2:4" x14ac:dyDescent="0.45">
      <c r="B4" t="s">
        <v>1299</v>
      </c>
      <c r="C4" s="26">
        <v>9599963376.037632</v>
      </c>
      <c r="D4" s="26">
        <v>15768551589</v>
      </c>
    </row>
    <row r="5" spans="2:4" x14ac:dyDescent="0.45">
      <c r="B5" t="s">
        <v>1300</v>
      </c>
      <c r="C5" s="26">
        <f>10181944630.0411-500000000</f>
        <v>9681944630.0410995</v>
      </c>
      <c r="D5" s="26">
        <v>15615545441.5</v>
      </c>
    </row>
    <row r="6" spans="2:4" x14ac:dyDescent="0.45">
      <c r="B6" t="s">
        <v>1301</v>
      </c>
      <c r="C6" s="26">
        <f>10311283568.1994-500000000</f>
        <v>9811283568.1993999</v>
      </c>
      <c r="D6" s="26">
        <v>16273581606.5</v>
      </c>
    </row>
    <row r="7" spans="2:4" x14ac:dyDescent="0.45">
      <c r="B7" t="s">
        <v>1302</v>
      </c>
      <c r="C7" s="26">
        <f>11247485786.2648-500000000</f>
        <v>10747485786.264799</v>
      </c>
      <c r="D7" s="26">
        <v>15581595351.5</v>
      </c>
    </row>
    <row r="8" spans="2:4" x14ac:dyDescent="0.45">
      <c r="B8" t="s">
        <v>1303</v>
      </c>
      <c r="C8" s="26">
        <f>11271694045.9648-500000000</f>
        <v>10771694045.9648</v>
      </c>
      <c r="D8" s="26">
        <v>15822317567.5</v>
      </c>
    </row>
    <row r="9" spans="2:4" x14ac:dyDescent="0.45">
      <c r="B9" t="s">
        <v>1304</v>
      </c>
      <c r="C9" s="26">
        <f>11142677829.9827-500000000</f>
        <v>10642677829.9827</v>
      </c>
      <c r="D9" s="26">
        <v>16046532058.15</v>
      </c>
    </row>
    <row r="10" spans="2:4" x14ac:dyDescent="0.45">
      <c r="B10" t="s">
        <v>1305</v>
      </c>
      <c r="C10" s="26">
        <v>11045975109.602692</v>
      </c>
      <c r="D10" s="26">
        <v>16383146423.819998</v>
      </c>
    </row>
    <row r="11" spans="2:4" x14ac:dyDescent="0.45">
      <c r="B11" t="s">
        <v>1306</v>
      </c>
      <c r="C11" s="26">
        <v>11572688027.332125</v>
      </c>
      <c r="D11" s="26">
        <v>15664017454.819998</v>
      </c>
    </row>
    <row r="12" spans="2:4" x14ac:dyDescent="0.45">
      <c r="B12" t="s">
        <v>1307</v>
      </c>
      <c r="C12" s="26">
        <v>11972694267.408318</v>
      </c>
      <c r="D12" s="26">
        <v>16970210676.819998</v>
      </c>
    </row>
    <row r="13" spans="2:4" x14ac:dyDescent="0.45">
      <c r="B13" t="s">
        <v>1308</v>
      </c>
      <c r="C13" s="26">
        <v>11968187267.408319</v>
      </c>
      <c r="D13" s="26">
        <v>16276153076.819998</v>
      </c>
    </row>
    <row r="14" spans="2:4" x14ac:dyDescent="0.45">
      <c r="B14" t="s">
        <v>1309</v>
      </c>
      <c r="C14" s="26">
        <v>11871872967.408314</v>
      </c>
      <c r="D14" s="26">
        <v>14709052186.699999</v>
      </c>
    </row>
    <row r="28" spans="2:3" x14ac:dyDescent="0.45">
      <c r="B28" s="25" t="s">
        <v>1134</v>
      </c>
      <c r="C28" s="25" t="s">
        <v>1310</v>
      </c>
    </row>
    <row r="29" spans="2:3" x14ac:dyDescent="0.45">
      <c r="B29" t="s">
        <v>1298</v>
      </c>
      <c r="C29" s="26">
        <v>5282040175.6294527</v>
      </c>
    </row>
    <row r="30" spans="2:3" x14ac:dyDescent="0.45">
      <c r="B30" t="s">
        <v>1299</v>
      </c>
      <c r="C30" s="26">
        <v>5461393779.2399607</v>
      </c>
    </row>
    <row r="31" spans="2:3" x14ac:dyDescent="0.45">
      <c r="B31" t="s">
        <v>1300</v>
      </c>
      <c r="C31" s="26">
        <f>6538598185.58995-500000000</f>
        <v>6038598185.5899496</v>
      </c>
    </row>
    <row r="32" spans="2:3" x14ac:dyDescent="0.45">
      <c r="B32" t="s">
        <v>1301</v>
      </c>
      <c r="C32" s="26">
        <f>6679174623.74826-500000000</f>
        <v>6179174623.7482595</v>
      </c>
    </row>
    <row r="33" spans="2:3" x14ac:dyDescent="0.45">
      <c r="B33" t="s">
        <v>1302</v>
      </c>
      <c r="C33" s="26">
        <f>6936171277.9245-500000000</f>
        <v>6436171277.9245005</v>
      </c>
    </row>
    <row r="34" spans="2:3" x14ac:dyDescent="0.45">
      <c r="B34" t="s">
        <v>1303</v>
      </c>
      <c r="C34" s="26">
        <f>6971179414.74386-500000000</f>
        <v>6471179414.7438602</v>
      </c>
    </row>
    <row r="35" spans="2:3" x14ac:dyDescent="0.45">
      <c r="B35" t="s">
        <v>1304</v>
      </c>
      <c r="C35" s="26">
        <v>6776032321.6423664</v>
      </c>
    </row>
    <row r="36" spans="2:3" x14ac:dyDescent="0.45">
      <c r="B36" t="s">
        <v>1305</v>
      </c>
      <c r="C36" s="26">
        <v>6962496720.0623579</v>
      </c>
    </row>
    <row r="37" spans="2:3" x14ac:dyDescent="0.45">
      <c r="B37" t="s">
        <v>1306</v>
      </c>
      <c r="C37" s="26">
        <v>7459330420.79179</v>
      </c>
    </row>
    <row r="38" spans="2:3" x14ac:dyDescent="0.45">
      <c r="B38" t="s">
        <v>1307</v>
      </c>
      <c r="C38" s="26">
        <v>7738542335.8679819</v>
      </c>
    </row>
    <row r="39" spans="2:3" x14ac:dyDescent="0.45">
      <c r="B39" t="s">
        <v>1308</v>
      </c>
      <c r="C39" s="26">
        <v>7695714455.86798</v>
      </c>
    </row>
    <row r="40" spans="2:3" x14ac:dyDescent="0.45">
      <c r="B40" t="s">
        <v>1309</v>
      </c>
      <c r="C40" s="26">
        <v>7523051580.867981</v>
      </c>
    </row>
    <row r="54" spans="2:11" ht="14.65" thickBot="1" x14ac:dyDescent="0.5">
      <c r="B54" s="27" t="s">
        <v>1311</v>
      </c>
      <c r="C54" s="28">
        <v>14400000000</v>
      </c>
    </row>
    <row r="55" spans="2:11" x14ac:dyDescent="0.45">
      <c r="B55" s="29" t="s">
        <v>1312</v>
      </c>
      <c r="C55" s="30">
        <v>6691165605.0393305</v>
      </c>
    </row>
    <row r="56" spans="2:11" x14ac:dyDescent="0.45">
      <c r="B56" s="31" t="s">
        <v>1313</v>
      </c>
      <c r="C56" s="32">
        <v>2129751870</v>
      </c>
      <c r="J56" t="s">
        <v>1314</v>
      </c>
      <c r="K56" t="s">
        <v>1315</v>
      </c>
    </row>
    <row r="57" spans="2:11" ht="14.65" thickBot="1" x14ac:dyDescent="0.5">
      <c r="B57" s="33" t="s">
        <v>1316</v>
      </c>
      <c r="C57" s="34">
        <v>1038000000</v>
      </c>
      <c r="H57" t="s">
        <v>1317</v>
      </c>
      <c r="I57" s="35">
        <v>0.28999999999999998</v>
      </c>
      <c r="J57" s="2">
        <f>29%*44100</f>
        <v>12789</v>
      </c>
      <c r="K57" s="2">
        <v>54500000</v>
      </c>
    </row>
    <row r="58" spans="2:11" x14ac:dyDescent="0.45">
      <c r="B58" s="36" t="s">
        <v>1318</v>
      </c>
      <c r="C58" s="37">
        <f>C55+C56+C57</f>
        <v>9858917475.0393295</v>
      </c>
      <c r="H58" t="s">
        <v>1319</v>
      </c>
      <c r="I58" s="35">
        <v>0.41</v>
      </c>
      <c r="J58" s="2">
        <v>17010</v>
      </c>
      <c r="K58" s="2">
        <v>70000000</v>
      </c>
    </row>
    <row r="59" spans="2:11" x14ac:dyDescent="0.45">
      <c r="B59" s="38" t="s">
        <v>1320</v>
      </c>
      <c r="C59" s="39">
        <f>C54-C58</f>
        <v>4541082524.9606705</v>
      </c>
      <c r="K59" s="26">
        <f>SUM(K57:K58)</f>
        <v>124500000</v>
      </c>
    </row>
    <row r="74" spans="2:3" ht="14.65" thickBot="1" x14ac:dyDescent="0.5">
      <c r="B74" s="27" t="s">
        <v>1311</v>
      </c>
      <c r="C74" s="28">
        <v>14400000000</v>
      </c>
    </row>
    <row r="75" spans="2:3" x14ac:dyDescent="0.45">
      <c r="B75" s="29" t="s">
        <v>1312</v>
      </c>
      <c r="C75" s="30">
        <v>7313922035.0248146</v>
      </c>
    </row>
    <row r="76" spans="2:3" x14ac:dyDescent="0.45">
      <c r="B76" s="31" t="s">
        <v>1313</v>
      </c>
      <c r="C76" s="32">
        <v>1795852250.6666667</v>
      </c>
    </row>
    <row r="77" spans="2:3" ht="14.65" thickBot="1" x14ac:dyDescent="0.5">
      <c r="B77" s="33" t="s">
        <v>1316</v>
      </c>
      <c r="C77" s="34">
        <v>1038000000</v>
      </c>
    </row>
    <row r="78" spans="2:3" x14ac:dyDescent="0.45">
      <c r="B78" s="36" t="s">
        <v>1318</v>
      </c>
      <c r="C78" s="37">
        <f>C75+C76+C77</f>
        <v>10147774285.691481</v>
      </c>
    </row>
    <row r="79" spans="2:3" x14ac:dyDescent="0.45">
      <c r="B79" s="38" t="s">
        <v>1320</v>
      </c>
      <c r="C79" s="39">
        <f>C74-C78</f>
        <v>4252225714.3085194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50DD-7CFA-4ABD-B98B-2196BBB7797A}">
  <dimension ref="B2:I26"/>
  <sheetViews>
    <sheetView workbookViewId="0">
      <selection activeCell="G59" sqref="G59"/>
    </sheetView>
  </sheetViews>
  <sheetFormatPr defaultRowHeight="14.25" x14ac:dyDescent="0.45"/>
  <cols>
    <col min="2" max="2" width="10.3984375" customWidth="1"/>
    <col min="3" max="3" width="20.53125" customWidth="1"/>
    <col min="4" max="4" width="33.1328125" customWidth="1"/>
    <col min="5" max="5" width="18.265625" customWidth="1"/>
    <col min="6" max="6" width="18.86328125" customWidth="1"/>
    <col min="7" max="7" width="18.796875" customWidth="1"/>
    <col min="8" max="8" width="18.9296875" customWidth="1"/>
    <col min="9" max="9" width="22.9296875" customWidth="1"/>
  </cols>
  <sheetData>
    <row r="2" spans="2:9" x14ac:dyDescent="0.45">
      <c r="B2" s="21"/>
      <c r="E2" s="2"/>
      <c r="F2" s="2"/>
      <c r="G2" s="2"/>
    </row>
    <row r="3" spans="2:9" ht="28.5" customHeight="1" x14ac:dyDescent="0.45">
      <c r="B3" s="4" t="s">
        <v>1321</v>
      </c>
      <c r="C3" s="4" t="s">
        <v>1322</v>
      </c>
      <c r="D3" s="4" t="s">
        <v>1323</v>
      </c>
      <c r="E3" s="4" t="s">
        <v>1324</v>
      </c>
      <c r="F3" s="3" t="s">
        <v>1325</v>
      </c>
      <c r="G3" s="3" t="s">
        <v>12</v>
      </c>
      <c r="H3" s="3" t="s">
        <v>1326</v>
      </c>
      <c r="I3" s="3" t="s">
        <v>1327</v>
      </c>
    </row>
    <row r="4" spans="2:9" x14ac:dyDescent="0.45">
      <c r="B4" s="40">
        <v>1</v>
      </c>
      <c r="C4" s="41" t="s">
        <v>1271</v>
      </c>
      <c r="D4" s="41" t="s">
        <v>1328</v>
      </c>
      <c r="E4" s="41" t="s">
        <v>1141</v>
      </c>
      <c r="F4" s="42">
        <v>110380000</v>
      </c>
      <c r="G4" s="42">
        <v>25116000</v>
      </c>
      <c r="H4" s="43" t="s">
        <v>1139</v>
      </c>
      <c r="I4" s="40" t="s">
        <v>1329</v>
      </c>
    </row>
    <row r="5" spans="2:9" x14ac:dyDescent="0.45">
      <c r="B5" s="40">
        <v>2</v>
      </c>
      <c r="C5" s="41" t="s">
        <v>490</v>
      </c>
      <c r="D5" s="41" t="s">
        <v>1330</v>
      </c>
      <c r="E5" s="41" t="s">
        <v>1132</v>
      </c>
      <c r="F5" s="42">
        <v>72080000</v>
      </c>
      <c r="G5" s="42">
        <v>65390000</v>
      </c>
      <c r="H5" s="43" t="s">
        <v>1139</v>
      </c>
      <c r="I5" s="40" t="s">
        <v>1329</v>
      </c>
    </row>
    <row r="6" spans="2:9" x14ac:dyDescent="0.45">
      <c r="B6" s="40">
        <v>3</v>
      </c>
      <c r="C6" s="41" t="s">
        <v>1249</v>
      </c>
      <c r="D6" s="41" t="s">
        <v>1331</v>
      </c>
      <c r="E6" s="41" t="s">
        <v>1332</v>
      </c>
      <c r="F6" s="44">
        <v>96000000</v>
      </c>
      <c r="G6" s="44">
        <v>96000000</v>
      </c>
      <c r="H6" s="43" t="s">
        <v>1139</v>
      </c>
      <c r="I6" s="40" t="s">
        <v>1329</v>
      </c>
    </row>
    <row r="7" spans="2:9" x14ac:dyDescent="0.45">
      <c r="B7" s="40">
        <v>4</v>
      </c>
      <c r="C7" s="41" t="s">
        <v>1333</v>
      </c>
      <c r="D7" s="41" t="s">
        <v>1334</v>
      </c>
      <c r="E7" s="41" t="s">
        <v>849</v>
      </c>
      <c r="F7" s="44">
        <v>304290000</v>
      </c>
      <c r="G7" s="44">
        <v>293750000</v>
      </c>
      <c r="H7" s="43" t="s">
        <v>1139</v>
      </c>
      <c r="I7" s="40" t="s">
        <v>1329</v>
      </c>
    </row>
    <row r="8" spans="2:9" x14ac:dyDescent="0.45">
      <c r="B8" s="40">
        <v>5</v>
      </c>
      <c r="C8" s="41" t="s">
        <v>1333</v>
      </c>
      <c r="D8" s="41" t="s">
        <v>1335</v>
      </c>
      <c r="E8" s="41" t="s">
        <v>849</v>
      </c>
      <c r="F8" s="44">
        <v>264600000</v>
      </c>
      <c r="G8" s="44">
        <v>252904000</v>
      </c>
      <c r="H8" s="43" t="s">
        <v>1139</v>
      </c>
      <c r="I8" s="40" t="s">
        <v>1329</v>
      </c>
    </row>
    <row r="9" spans="2:9" x14ac:dyDescent="0.45">
      <c r="B9" s="40">
        <v>6</v>
      </c>
      <c r="C9" s="41" t="s">
        <v>1336</v>
      </c>
      <c r="D9" s="41" t="s">
        <v>1337</v>
      </c>
      <c r="E9" s="41" t="s">
        <v>1132</v>
      </c>
      <c r="F9" s="44">
        <v>104500000</v>
      </c>
      <c r="G9" s="44">
        <v>69500000</v>
      </c>
      <c r="H9" s="43" t="s">
        <v>1139</v>
      </c>
      <c r="I9" s="40" t="s">
        <v>1329</v>
      </c>
    </row>
    <row r="10" spans="2:9" x14ac:dyDescent="0.45">
      <c r="B10" s="40">
        <v>7</v>
      </c>
      <c r="C10" s="41" t="s">
        <v>1338</v>
      </c>
      <c r="D10" s="41" t="s">
        <v>1339</v>
      </c>
      <c r="E10" s="41" t="s">
        <v>1332</v>
      </c>
      <c r="F10" s="45">
        <v>306738912</v>
      </c>
      <c r="G10" s="45">
        <v>9488040.6099999994</v>
      </c>
      <c r="H10" s="43" t="s">
        <v>1139</v>
      </c>
      <c r="I10" s="40" t="s">
        <v>1329</v>
      </c>
    </row>
    <row r="11" spans="2:9" x14ac:dyDescent="0.45">
      <c r="B11" s="40">
        <v>8</v>
      </c>
      <c r="C11" s="41" t="s">
        <v>1340</v>
      </c>
      <c r="D11" s="41" t="s">
        <v>1341</v>
      </c>
      <c r="E11" s="41" t="s">
        <v>1332</v>
      </c>
      <c r="F11" s="42">
        <v>21620000</v>
      </c>
      <c r="G11" s="42">
        <v>4132000</v>
      </c>
      <c r="H11" s="43" t="s">
        <v>1159</v>
      </c>
      <c r="I11" s="40" t="s">
        <v>1329</v>
      </c>
    </row>
    <row r="12" spans="2:9" x14ac:dyDescent="0.45">
      <c r="B12" s="40">
        <v>9</v>
      </c>
      <c r="C12" s="41" t="s">
        <v>663</v>
      </c>
      <c r="D12" s="41" t="s">
        <v>1342</v>
      </c>
      <c r="E12" s="41" t="s">
        <v>1132</v>
      </c>
      <c r="F12" s="44">
        <v>67000000</v>
      </c>
      <c r="G12" s="44">
        <v>67000000</v>
      </c>
      <c r="H12" s="43" t="s">
        <v>1159</v>
      </c>
      <c r="I12" s="40" t="s">
        <v>1329</v>
      </c>
    </row>
    <row r="13" spans="2:9" x14ac:dyDescent="0.45">
      <c r="B13" s="40">
        <v>10</v>
      </c>
      <c r="C13" s="41" t="s">
        <v>1271</v>
      </c>
      <c r="D13" s="41" t="s">
        <v>1343</v>
      </c>
      <c r="E13" s="41" t="s">
        <v>1141</v>
      </c>
      <c r="F13" s="44">
        <v>546990000</v>
      </c>
      <c r="G13" s="44">
        <v>220000000</v>
      </c>
      <c r="H13" s="43" t="s">
        <v>1159</v>
      </c>
      <c r="I13" s="40" t="s">
        <v>1329</v>
      </c>
    </row>
    <row r="14" spans="2:9" x14ac:dyDescent="0.45">
      <c r="B14" s="40">
        <v>11</v>
      </c>
      <c r="C14" s="41" t="s">
        <v>1199</v>
      </c>
      <c r="D14" s="41" t="s">
        <v>1344</v>
      </c>
      <c r="E14" s="41" t="s">
        <v>1332</v>
      </c>
      <c r="F14" s="45">
        <v>252000000</v>
      </c>
      <c r="G14" s="45">
        <v>252000000</v>
      </c>
      <c r="H14" s="43" t="s">
        <v>1159</v>
      </c>
      <c r="I14" s="40" t="s">
        <v>1329</v>
      </c>
    </row>
    <row r="15" spans="2:9" x14ac:dyDescent="0.45">
      <c r="B15" s="40">
        <v>12</v>
      </c>
      <c r="C15" s="41" t="s">
        <v>1345</v>
      </c>
      <c r="D15" s="41" t="s">
        <v>1346</v>
      </c>
      <c r="E15" s="41" t="s">
        <v>1180</v>
      </c>
      <c r="F15" s="45">
        <v>70000000</v>
      </c>
      <c r="G15" s="45">
        <v>70000000</v>
      </c>
      <c r="H15" s="43" t="s">
        <v>1159</v>
      </c>
      <c r="I15" s="40" t="s">
        <v>1329</v>
      </c>
    </row>
    <row r="16" spans="2:9" x14ac:dyDescent="0.45">
      <c r="B16" s="40">
        <v>13</v>
      </c>
      <c r="C16" s="41" t="s">
        <v>1347</v>
      </c>
      <c r="D16" s="41" t="s">
        <v>1348</v>
      </c>
      <c r="E16" s="41" t="s">
        <v>1180</v>
      </c>
      <c r="F16" s="45">
        <v>160000000</v>
      </c>
      <c r="G16" s="45">
        <v>130000000</v>
      </c>
      <c r="H16" s="43" t="s">
        <v>1159</v>
      </c>
      <c r="I16" s="40" t="s">
        <v>1329</v>
      </c>
    </row>
    <row r="17" spans="2:9" x14ac:dyDescent="0.45">
      <c r="B17" s="40">
        <v>14</v>
      </c>
      <c r="C17" s="41" t="s">
        <v>1349</v>
      </c>
      <c r="D17" s="41" t="s">
        <v>1342</v>
      </c>
      <c r="E17" s="41" t="s">
        <v>1180</v>
      </c>
      <c r="F17" s="45">
        <v>25000000</v>
      </c>
      <c r="G17" s="45">
        <v>25000000</v>
      </c>
      <c r="H17" s="43" t="s">
        <v>1159</v>
      </c>
      <c r="I17" s="43" t="s">
        <v>1329</v>
      </c>
    </row>
    <row r="18" spans="2:9" x14ac:dyDescent="0.45">
      <c r="B18" s="40">
        <v>15</v>
      </c>
      <c r="C18" s="41" t="s">
        <v>663</v>
      </c>
      <c r="D18" s="41" t="s">
        <v>1350</v>
      </c>
      <c r="E18" s="41" t="s">
        <v>1351</v>
      </c>
      <c r="F18" s="45">
        <v>135000000</v>
      </c>
      <c r="G18" s="45">
        <v>135000000</v>
      </c>
      <c r="H18" s="43" t="s">
        <v>1159</v>
      </c>
      <c r="I18" s="40" t="s">
        <v>1329</v>
      </c>
    </row>
    <row r="19" spans="2:9" x14ac:dyDescent="0.45">
      <c r="B19" s="40">
        <v>16</v>
      </c>
      <c r="C19" s="41" t="s">
        <v>1352</v>
      </c>
      <c r="D19" s="41" t="s">
        <v>1353</v>
      </c>
      <c r="E19" s="41" t="s">
        <v>1180</v>
      </c>
      <c r="F19" s="45">
        <v>300000000</v>
      </c>
      <c r="G19" s="45">
        <v>300000000</v>
      </c>
      <c r="H19" s="43" t="s">
        <v>1159</v>
      </c>
      <c r="I19" s="40" t="s">
        <v>1329</v>
      </c>
    </row>
    <row r="20" spans="2:9" x14ac:dyDescent="0.45">
      <c r="B20" s="40">
        <v>17</v>
      </c>
      <c r="C20" s="41" t="s">
        <v>1354</v>
      </c>
      <c r="D20" s="41" t="s">
        <v>1355</v>
      </c>
      <c r="E20" s="41" t="s">
        <v>1180</v>
      </c>
      <c r="F20" s="45">
        <v>44000000</v>
      </c>
      <c r="G20" s="45">
        <v>44000000</v>
      </c>
      <c r="H20" s="43" t="s">
        <v>1159</v>
      </c>
      <c r="I20" s="40" t="s">
        <v>1329</v>
      </c>
    </row>
    <row r="21" spans="2:9" x14ac:dyDescent="0.45">
      <c r="B21" s="40">
        <v>18</v>
      </c>
      <c r="C21" s="41" t="s">
        <v>1356</v>
      </c>
      <c r="D21" s="41" t="s">
        <v>880</v>
      </c>
      <c r="E21" s="41" t="s">
        <v>1132</v>
      </c>
      <c r="F21" s="45">
        <v>48000000</v>
      </c>
      <c r="G21" s="45">
        <v>48000000</v>
      </c>
      <c r="H21" s="43" t="s">
        <v>1159</v>
      </c>
      <c r="I21" s="40" t="s">
        <v>1329</v>
      </c>
    </row>
    <row r="22" spans="2:9" x14ac:dyDescent="0.45">
      <c r="B22" s="40">
        <v>19</v>
      </c>
      <c r="C22" s="41" t="s">
        <v>1357</v>
      </c>
      <c r="D22" s="41" t="s">
        <v>880</v>
      </c>
      <c r="E22" s="41" t="s">
        <v>1132</v>
      </c>
      <c r="F22" s="45">
        <v>189000000</v>
      </c>
      <c r="G22" s="45">
        <v>189000000</v>
      </c>
      <c r="H22" s="43" t="s">
        <v>1204</v>
      </c>
      <c r="I22" s="40" t="s">
        <v>1329</v>
      </c>
    </row>
    <row r="23" spans="2:9" x14ac:dyDescent="0.45">
      <c r="B23" s="40">
        <v>20</v>
      </c>
      <c r="C23" s="41" t="s">
        <v>1249</v>
      </c>
      <c r="D23" s="41" t="s">
        <v>1358</v>
      </c>
      <c r="E23" s="41" t="s">
        <v>1332</v>
      </c>
      <c r="F23" s="45">
        <v>1575184822</v>
      </c>
      <c r="G23" s="45">
        <v>354941000</v>
      </c>
      <c r="H23" s="43" t="s">
        <v>1204</v>
      </c>
      <c r="I23" s="40" t="s">
        <v>1329</v>
      </c>
    </row>
    <row r="24" spans="2:9" x14ac:dyDescent="0.45">
      <c r="B24" s="40">
        <v>21</v>
      </c>
      <c r="C24" s="41" t="s">
        <v>423</v>
      </c>
      <c r="D24" s="41" t="s">
        <v>1359</v>
      </c>
      <c r="E24" s="41" t="s">
        <v>1332</v>
      </c>
      <c r="F24" s="45">
        <v>81824000</v>
      </c>
      <c r="G24" s="45">
        <v>10993000</v>
      </c>
      <c r="H24" s="43" t="s">
        <v>1219</v>
      </c>
      <c r="I24" s="40" t="s">
        <v>1329</v>
      </c>
    </row>
    <row r="25" spans="2:9" x14ac:dyDescent="0.45">
      <c r="B25" s="40">
        <v>22</v>
      </c>
      <c r="C25" s="41" t="s">
        <v>1360</v>
      </c>
      <c r="D25" s="41" t="s">
        <v>1361</v>
      </c>
      <c r="E25" s="41" t="s">
        <v>1141</v>
      </c>
      <c r="F25" s="45">
        <f>198000000/1.11</f>
        <v>178378378.37837836</v>
      </c>
      <c r="G25" s="45">
        <f>198000000/1.11</f>
        <v>178378378.37837836</v>
      </c>
      <c r="H25" s="43" t="s">
        <v>1219</v>
      </c>
      <c r="I25" s="40" t="s">
        <v>1362</v>
      </c>
    </row>
    <row r="26" spans="2:9" x14ac:dyDescent="0.45">
      <c r="B26" s="46" t="s">
        <v>1363</v>
      </c>
      <c r="C26" s="47"/>
      <c r="D26" s="47"/>
      <c r="E26" s="48"/>
      <c r="F26" s="49">
        <f>SUM(F4:F25)</f>
        <v>4952586112.3783779</v>
      </c>
      <c r="G26" s="49">
        <f>SUM(G4:G25)</f>
        <v>2840592418.9883785</v>
      </c>
      <c r="H26" s="50"/>
      <c r="I26" s="50"/>
    </row>
  </sheetData>
  <mergeCells count="1">
    <mergeCell ref="B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Prospect</vt:lpstr>
      <vt:lpstr>Product</vt:lpstr>
      <vt:lpstr>Sales Activity</vt:lpstr>
      <vt:lpstr>Graph</vt:lpstr>
      <vt:lpstr>Prospect Closure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</dc:creator>
  <cp:lastModifiedBy>Arya Irvandy Maulana</cp:lastModifiedBy>
  <dcterms:created xsi:type="dcterms:W3CDTF">2026-04-23T16:57:40Z</dcterms:created>
  <dcterms:modified xsi:type="dcterms:W3CDTF">2026-04-24T02:43:47Z</dcterms:modified>
</cp:coreProperties>
</file>